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CELI\Desktop\CUARTO ENTREGABLE_UNDAC\08. INSTALACIONES TELECUMUNICACIONES_OK\"/>
    </mc:Choice>
  </mc:AlternateContent>
  <xr:revisionPtr revIDLastSave="0" documentId="13_ncr:1_{189CB0F6-8E4A-4311-9504-010A1277144C}" xr6:coauthVersionLast="47" xr6:coauthVersionMax="47" xr10:uidLastSave="{00000000-0000-0000-0000-000000000000}"/>
  <bookViews>
    <workbookView xWindow="0" yWindow="0" windowWidth="11520" windowHeight="12156" xr2:uid="{E6635EB4-6C21-4489-B21D-F95D3A859040}"/>
  </bookViews>
  <sheets>
    <sheet name="RESUMEN" sheetId="2" r:id="rId1"/>
  </sheets>
  <definedNames>
    <definedName name="_xlnm.Print_Area" localSheetId="0">RESUMEN!$A$1:$E$92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2" i="2" l="1"/>
  <c r="AK92" i="2"/>
  <c r="D92" i="2" s="1"/>
  <c r="E92" i="2" s="1"/>
  <c r="AH53" i="2" l="1"/>
  <c r="AD53" i="2"/>
  <c r="Z53" i="2"/>
  <c r="V53" i="2"/>
  <c r="R53" i="2"/>
  <c r="N53" i="2"/>
  <c r="J53" i="2"/>
  <c r="AH89" i="2"/>
  <c r="AH88" i="2"/>
  <c r="AH87" i="2"/>
  <c r="AH86" i="2"/>
  <c r="AH85" i="2"/>
  <c r="AH84" i="2"/>
  <c r="AH83" i="2"/>
  <c r="AH82" i="2"/>
  <c r="AD89" i="2"/>
  <c r="AD88" i="2"/>
  <c r="AD87" i="2"/>
  <c r="AD86" i="2"/>
  <c r="AD85" i="2"/>
  <c r="AD84" i="2"/>
  <c r="AD83" i="2"/>
  <c r="AD82" i="2"/>
  <c r="Z89" i="2"/>
  <c r="Z88" i="2"/>
  <c r="Z87" i="2"/>
  <c r="Z86" i="2"/>
  <c r="Z85" i="2"/>
  <c r="Z84" i="2"/>
  <c r="Z83" i="2"/>
  <c r="Z82" i="2"/>
  <c r="V89" i="2"/>
  <c r="V88" i="2"/>
  <c r="V87" i="2"/>
  <c r="V86" i="2"/>
  <c r="V85" i="2"/>
  <c r="V84" i="2"/>
  <c r="V83" i="2"/>
  <c r="V82" i="2"/>
  <c r="R89" i="2"/>
  <c r="R88" i="2"/>
  <c r="R87" i="2"/>
  <c r="R86" i="2"/>
  <c r="R85" i="2"/>
  <c r="R84" i="2"/>
  <c r="R83" i="2"/>
  <c r="R82" i="2"/>
  <c r="N89" i="2"/>
  <c r="N88" i="2"/>
  <c r="N87" i="2"/>
  <c r="N86" i="2"/>
  <c r="N85" i="2"/>
  <c r="N84" i="2"/>
  <c r="N83" i="2"/>
  <c r="N82" i="2"/>
  <c r="AH79" i="2" l="1"/>
  <c r="AD79" i="2"/>
  <c r="Z79" i="2"/>
  <c r="Z52" i="2" s="1"/>
  <c r="V79" i="2"/>
  <c r="R79" i="2"/>
  <c r="R61" i="2" s="1"/>
  <c r="N79" i="2"/>
  <c r="J89" i="2"/>
  <c r="AK89" i="2" s="1"/>
  <c r="D89" i="2" s="1"/>
  <c r="E89" i="2" s="1"/>
  <c r="J88" i="2"/>
  <c r="AK88" i="2" s="1"/>
  <c r="D88" i="2" s="1"/>
  <c r="E88" i="2" s="1"/>
  <c r="J87" i="2"/>
  <c r="J86" i="2"/>
  <c r="AK86" i="2" s="1"/>
  <c r="D86" i="2" s="1"/>
  <c r="E86" i="2" s="1"/>
  <c r="J85" i="2"/>
  <c r="AK85" i="2" s="1"/>
  <c r="D85" i="2" s="1"/>
  <c r="E85" i="2" s="1"/>
  <c r="J84" i="2"/>
  <c r="AK84" i="2" s="1"/>
  <c r="D84" i="2" s="1"/>
  <c r="E84" i="2" s="1"/>
  <c r="J83" i="2"/>
  <c r="J82" i="2"/>
  <c r="AK82" i="2" s="1"/>
  <c r="D82" i="2" s="1"/>
  <c r="J79" i="2"/>
  <c r="AL31" i="2"/>
  <c r="AK31" i="2"/>
  <c r="AL30" i="2"/>
  <c r="AK30" i="2"/>
  <c r="AK72" i="2"/>
  <c r="D72" i="2" s="1"/>
  <c r="AL72" i="2"/>
  <c r="AK74" i="2"/>
  <c r="D74" i="2" s="1"/>
  <c r="AL74" i="2"/>
  <c r="AL91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77" i="2"/>
  <c r="AL75" i="2"/>
  <c r="AL73" i="2"/>
  <c r="AL70" i="2"/>
  <c r="AL65" i="2"/>
  <c r="AL66" i="2"/>
  <c r="AL67" i="2"/>
  <c r="AL68" i="2"/>
  <c r="AL64" i="2"/>
  <c r="AL61" i="2"/>
  <c r="AL57" i="2"/>
  <c r="AL58" i="2"/>
  <c r="AL56" i="2"/>
  <c r="AL52" i="2"/>
  <c r="AL53" i="2"/>
  <c r="AL54" i="2"/>
  <c r="AL51" i="2"/>
  <c r="AL49" i="2"/>
  <c r="AL46" i="2"/>
  <c r="AL44" i="2"/>
  <c r="AL43" i="2"/>
  <c r="AL41" i="2"/>
  <c r="AL38" i="2"/>
  <c r="AL36" i="2"/>
  <c r="AL35" i="2"/>
  <c r="AL29" i="2"/>
  <c r="AL32" i="2"/>
  <c r="AL28" i="2"/>
  <c r="AL23" i="2"/>
  <c r="AL24" i="2"/>
  <c r="AL25" i="2"/>
  <c r="AL26" i="2"/>
  <c r="AL27" i="2"/>
  <c r="AL22" i="2"/>
  <c r="AL19" i="2"/>
  <c r="AL18" i="2"/>
  <c r="AL15" i="2"/>
  <c r="AK18" i="2"/>
  <c r="D18" i="2" s="1"/>
  <c r="AK19" i="2"/>
  <c r="D19" i="2" s="1"/>
  <c r="AK22" i="2"/>
  <c r="D22" i="2" s="1"/>
  <c r="E22" i="2" s="1"/>
  <c r="AK23" i="2"/>
  <c r="AK24" i="2"/>
  <c r="AK25" i="2"/>
  <c r="AK26" i="2"/>
  <c r="AK27" i="2"/>
  <c r="AK28" i="2"/>
  <c r="AK29" i="2"/>
  <c r="AK32" i="2"/>
  <c r="D32" i="2" s="1"/>
  <c r="AK35" i="2"/>
  <c r="D35" i="2" s="1"/>
  <c r="AK36" i="2"/>
  <c r="D36" i="2" s="1"/>
  <c r="AK38" i="2"/>
  <c r="D38" i="2" s="1"/>
  <c r="E38" i="2" s="1"/>
  <c r="AK41" i="2"/>
  <c r="D41" i="2" s="1"/>
  <c r="AK43" i="2"/>
  <c r="D43" i="2" s="1"/>
  <c r="AK44" i="2"/>
  <c r="D44" i="2" s="1"/>
  <c r="E44" i="2" s="1"/>
  <c r="AK46" i="2"/>
  <c r="D46" i="2" s="1"/>
  <c r="AK49" i="2"/>
  <c r="D49" i="2" s="1"/>
  <c r="AK51" i="2"/>
  <c r="D51" i="2" s="1"/>
  <c r="E51" i="2" s="1"/>
  <c r="AK53" i="2"/>
  <c r="D53" i="2" s="1"/>
  <c r="E53" i="2" s="1"/>
  <c r="AK54" i="2"/>
  <c r="D54" i="2" s="1"/>
  <c r="AK56" i="2"/>
  <c r="D56" i="2" s="1"/>
  <c r="E56" i="2" s="1"/>
  <c r="AK57" i="2"/>
  <c r="D57" i="2" s="1"/>
  <c r="E57" i="2" s="1"/>
  <c r="AK58" i="2"/>
  <c r="D58" i="2" s="1"/>
  <c r="E58" i="2" s="1"/>
  <c r="AK65" i="2"/>
  <c r="D65" i="2" s="1"/>
  <c r="E65" i="2" s="1"/>
  <c r="AK66" i="2"/>
  <c r="D66" i="2" s="1"/>
  <c r="E66" i="2" s="1"/>
  <c r="AK67" i="2"/>
  <c r="D67" i="2" s="1"/>
  <c r="AK68" i="2"/>
  <c r="D68" i="2" s="1"/>
  <c r="AK70" i="2"/>
  <c r="D70" i="2" s="1"/>
  <c r="E70" i="2" s="1"/>
  <c r="AK73" i="2"/>
  <c r="D73" i="2" s="1"/>
  <c r="AK75" i="2"/>
  <c r="D75" i="2" s="1"/>
  <c r="AK77" i="2"/>
  <c r="D77" i="2" s="1"/>
  <c r="E77" i="2" s="1"/>
  <c r="AK78" i="2"/>
  <c r="D78" i="2" s="1"/>
  <c r="E78" i="2" s="1"/>
  <c r="AK80" i="2"/>
  <c r="D80" i="2" s="1"/>
  <c r="E80" i="2" s="1"/>
  <c r="AK81" i="2"/>
  <c r="D81" i="2" s="1"/>
  <c r="E81" i="2" s="1"/>
  <c r="AK83" i="2"/>
  <c r="D83" i="2" s="1"/>
  <c r="E83" i="2" s="1"/>
  <c r="AK87" i="2"/>
  <c r="D87" i="2" s="1"/>
  <c r="E87" i="2" s="1"/>
  <c r="AK91" i="2"/>
  <c r="D91" i="2" s="1"/>
  <c r="E91" i="2" s="1"/>
  <c r="AK15" i="2"/>
  <c r="D15" i="2" s="1"/>
  <c r="E15" i="2" s="1"/>
  <c r="E59" i="2"/>
  <c r="E33" i="2"/>
  <c r="E16" i="2"/>
  <c r="D26" i="2" l="1"/>
  <c r="E26" i="2" s="1"/>
  <c r="D31" i="2"/>
  <c r="D23" i="2"/>
  <c r="E23" i="2" s="1"/>
  <c r="D28" i="2"/>
  <c r="E28" i="2" s="1"/>
  <c r="D27" i="2"/>
  <c r="E27" i="2" s="1"/>
  <c r="D30" i="2"/>
  <c r="E30" i="2" s="1"/>
  <c r="D24" i="2"/>
  <c r="E24" i="2" s="1"/>
  <c r="D25" i="2"/>
  <c r="E25" i="2" s="1"/>
  <c r="D29" i="2"/>
  <c r="E29" i="2" s="1"/>
  <c r="J52" i="2"/>
  <c r="J64" i="2"/>
  <c r="N64" i="2"/>
  <c r="N52" i="2"/>
  <c r="J61" i="2"/>
  <c r="E32" i="2"/>
  <c r="AH52" i="2"/>
  <c r="AH64" i="2"/>
  <c r="AH61" i="2"/>
  <c r="AD52" i="2"/>
  <c r="AD64" i="2"/>
  <c r="AD61" i="2"/>
  <c r="Z61" i="2"/>
  <c r="Z64" i="2"/>
  <c r="V52" i="2"/>
  <c r="V64" i="2"/>
  <c r="V61" i="2"/>
  <c r="R52" i="2"/>
  <c r="R64" i="2"/>
  <c r="N61" i="2"/>
  <c r="AK79" i="2"/>
  <c r="D79" i="2" s="1"/>
  <c r="E31" i="2"/>
  <c r="E75" i="2"/>
  <c r="E74" i="2"/>
  <c r="E73" i="2"/>
  <c r="AK64" i="2" l="1"/>
  <c r="D64" i="2" s="1"/>
  <c r="AK61" i="2"/>
  <c r="D61" i="2" s="1"/>
  <c r="E61" i="2" s="1"/>
  <c r="AK52" i="2"/>
  <c r="D52" i="2" s="1"/>
  <c r="E54" i="2" l="1"/>
  <c r="E43" i="2" l="1"/>
  <c r="E82" i="2"/>
  <c r="E79" i="2"/>
  <c r="E68" i="2"/>
  <c r="E67" i="2"/>
  <c r="E64" i="2"/>
  <c r="E52" i="2"/>
  <c r="E49" i="2"/>
  <c r="E46" i="2"/>
  <c r="E41" i="2"/>
  <c r="E36" i="2"/>
  <c r="E35" i="2"/>
  <c r="E20" i="2"/>
  <c r="E19" i="2"/>
  <c r="E18" i="2"/>
  <c r="E72" i="2"/>
</calcChain>
</file>

<file path=xl/sharedStrings.xml><?xml version="1.0" encoding="utf-8"?>
<sst xmlns="http://schemas.openxmlformats.org/spreadsheetml/2006/main" count="325" uniqueCount="245">
  <si>
    <t xml:space="preserve">RESUMEN DE METRADOS </t>
  </si>
  <si>
    <t>Proyecto          :</t>
  </si>
  <si>
    <t>Propietario      :</t>
  </si>
  <si>
    <t>Fecha               :</t>
  </si>
  <si>
    <t>Especialidad   :</t>
  </si>
  <si>
    <t>Lugar               :</t>
  </si>
  <si>
    <t>ITEM</t>
  </si>
  <si>
    <t>DESCRIPCION</t>
  </si>
  <si>
    <t>Und.</t>
  </si>
  <si>
    <t>Parcial</t>
  </si>
  <si>
    <t>Total</t>
  </si>
  <si>
    <t>und</t>
  </si>
  <si>
    <t>m</t>
  </si>
  <si>
    <t xml:space="preserve">      CONFIGURACION, PRUEBAS Y PUESTA EN MARCHA DEL SISTEMA DE VIDEO VIGILANCIA IP</t>
  </si>
  <si>
    <t xml:space="preserve">   SISTEMA DE VIDEO VIGILANCIA IP</t>
  </si>
  <si>
    <t>glb</t>
  </si>
  <si>
    <t xml:space="preserve">   CANALIZACIONES Y SALIDAS</t>
  </si>
  <si>
    <t xml:space="preserve">           TUBERIA ½” CORRUGADA FLEXIBLE PVC</t>
  </si>
  <si>
    <t xml:space="preserve">           TUBERIA ¾” CONDUIT EMT ANSI C80.3</t>
  </si>
  <si>
    <t xml:space="preserve">           TUBERIA 1” CONDUIT EMT ANSI C80.</t>
  </si>
  <si>
    <t xml:space="preserve">      CAJAS DE PASE F.G</t>
  </si>
  <si>
    <t xml:space="preserve">      SALIDAS</t>
  </si>
  <si>
    <t>pto</t>
  </si>
  <si>
    <t xml:space="preserve">      GRABADOR EN RED 64CH (NVR)</t>
  </si>
  <si>
    <t xml:space="preserve">   SISTEMA DE CONECTIVIDAD INFORMATICA e INALAMBRICA</t>
  </si>
  <si>
    <t xml:space="preserve">      SWITCH BORDE 24 PUERTOS 10/100/1000 - POE/POE+ 2P 10G</t>
  </si>
  <si>
    <t xml:space="preserve">      PUNTO DE ACCESO INALAMBRICO (ACCESS POINT) 802.11ax </t>
  </si>
  <si>
    <t>TELECOMUNICACIONES</t>
  </si>
  <si>
    <t>“MEJORAMIENTO DE LA CALIDAD EDUCATIVA DE LA FACULTAD DE CIENCIAS DE LA COMUNICACIÓN EN LA UNIVERSIDAD NACIONAL DANIEL ALCIDES CARRIÓN EN EL DISTRITO DE YANACANCHA – PROVINCIA DE PASCO – DEPARTAMENTO DE PASCO” CUI N° 2339551”</t>
  </si>
  <si>
    <t>UNDAC - PASCO</t>
  </si>
  <si>
    <t>PASCO</t>
  </si>
  <si>
    <t xml:space="preserve">   SISTEMA DE TELEFONIA IP</t>
  </si>
  <si>
    <t xml:space="preserve">      CONFIGURACION, PRUEBAS Y PUESTA EN MARCHA DEL SISTEMA DE TELEFONIA IP</t>
  </si>
  <si>
    <t xml:space="preserve">   SISTEMA DE DETECCION Y ALARMA DE INCENDIOS</t>
  </si>
  <si>
    <t xml:space="preserve">      PANEL CENTRAL DE ALARMAS CONTRA INCENDIOS</t>
  </si>
  <si>
    <t xml:space="preserve">      DETECTOR DE HUMO DIRECCIONABLE</t>
  </si>
  <si>
    <t xml:space="preserve">      DETECTOR DE TEMPERATURA DIRECCIONABLE</t>
  </si>
  <si>
    <t xml:space="preserve">      DETECTOR MULTIPROPOSITO DIRECCIONABLE</t>
  </si>
  <si>
    <t xml:space="preserve">      DETECTOR DE HUMO DE HAZ PROYECTADO (OSID-receptor)</t>
  </si>
  <si>
    <t xml:space="preserve">      DETECTOR DE HUMO DE HAZ PROYECTADO (OSID-emisor)</t>
  </si>
  <si>
    <t xml:space="preserve">      ESTACION MANUAL</t>
  </si>
  <si>
    <t xml:space="preserve">      BOCINA CON LUZ ESTROBOSCOPICA</t>
  </si>
  <si>
    <t xml:space="preserve">      RESISTENCIA FINAL DE LINEA</t>
  </si>
  <si>
    <t xml:space="preserve">      CONFIGURACION, PRUEBAS Y PUESTA EN MARCHA DEL SISTEMA DE DETECCION Y ALARMA DE INCENDIOS</t>
  </si>
  <si>
    <t xml:space="preserve">   BANDEJA PORTACABLE</t>
  </si>
  <si>
    <t xml:space="preserve">   CABLEADO ESTRUCTURADO</t>
  </si>
  <si>
    <t xml:space="preserve">       CABLEADO VERTICAL Y HORIZONTAL</t>
  </si>
  <si>
    <t xml:space="preserve">       CABLEADO SISTEMA CONTRAINCENDIO</t>
  </si>
  <si>
    <t xml:space="preserve">       GABINETE DE COMUNICACIÓN</t>
  </si>
  <si>
    <t xml:space="preserve">       EQUIPOS DE CABLEADO ESTRUCTURADO</t>
  </si>
  <si>
    <t xml:space="preserve">          CABLE NAC (FPLP 2x18 AWG)</t>
  </si>
  <si>
    <t xml:space="preserve">          CABLE SLC (FPLP 2x18 AWG)</t>
  </si>
  <si>
    <t xml:space="preserve">          GABINETE DE COMUNICACIONES TIPO MURAL RACK-19” 15RU (770x660x550mm)</t>
  </si>
  <si>
    <t xml:space="preserve">         EQUIPOS ACTIVOS</t>
  </si>
  <si>
    <t xml:space="preserve">         EQUIPOS PASIVOS</t>
  </si>
  <si>
    <t xml:space="preserve">           PATCH PANEL 24 PUERTOS CAT 6A MODULAR INC CONECTORES</t>
  </si>
  <si>
    <t xml:space="preserve">           PATCH CORD PLUG CAT 6A-RJ45 DE 1.5M (PATCH PANEL)</t>
  </si>
  <si>
    <t xml:space="preserve">           ORDENADOR DE 2 RU</t>
  </si>
  <si>
    <t xml:space="preserve">       ATERRAMIENTO DE COMUNICACIONES</t>
  </si>
  <si>
    <t xml:space="preserve">          BARRA DE ATERRAMIENTO PBB</t>
  </si>
  <si>
    <t xml:space="preserve">          BARRA DE ATERRAMIENTO SBB</t>
  </si>
  <si>
    <t xml:space="preserve">          CABLE DE 16mm2</t>
  </si>
  <si>
    <t xml:space="preserve">          INSTALACION, CONEXIÓN Y PRUEBAS DE ATERRAMIENTO</t>
  </si>
  <si>
    <t xml:space="preserve">       CERTIFICACION </t>
  </si>
  <si>
    <t xml:space="preserve">         CERTIFICACION DE CABLEADO ESTRUTURADO</t>
  </si>
  <si>
    <t xml:space="preserve">      TUBERIAS Y ACCESORIOS CONDUIT FLEXIBLE / PVC SAP / CONDUIT EMT</t>
  </si>
  <si>
    <t xml:space="preserve">           TUBERIA ¾” PVC-P - NTP:399.006, NTE:024</t>
  </si>
  <si>
    <t xml:space="preserve">           TUBERIA 2” PVC-P - NTP:399.006, NTE:024</t>
  </si>
  <si>
    <t xml:space="preserve">      COLUMNA VERTICAL DE ALUMINIO</t>
  </si>
  <si>
    <t xml:space="preserve">          COLUMNA RECTANGULAR VERTICAL ALUMINIO DOS COMPARTIMIENTOS 75x125x2700 mm (incl. accesorios)</t>
  </si>
  <si>
    <t xml:space="preserve">           CAJA DE PASE CUADRADA 100x100x100mm</t>
  </si>
  <si>
    <t xml:space="preserve">           CONECTOR FIJADO EN CARA LATERLA DE BANDEJA</t>
  </si>
  <si>
    <t xml:space="preserve">           SALIDA SIMPLE DATA – PARED</t>
  </si>
  <si>
    <t xml:space="preserve">           SALIDA SIMPLE DATA – MUEBLE</t>
  </si>
  <si>
    <t xml:space="preserve">           SALIDA DOBLE DATA – PARED</t>
  </si>
  <si>
    <t xml:space="preserve">           SALIDA DOBLE DATA – MUEBLE</t>
  </si>
  <si>
    <t xml:space="preserve">           SALIDA PARA ESTACION MANUAL</t>
  </si>
  <si>
    <t xml:space="preserve">           SALIDA PARA BOCINA CON LUZ ESTROBOSCOPICA</t>
  </si>
  <si>
    <t xml:space="preserve">           SALIDA PARA MODULO ISLADOR DE FALLAS</t>
  </si>
  <si>
    <t xml:space="preserve">           SALIDA PARA MODULO DE CONTROL</t>
  </si>
  <si>
    <t xml:space="preserve">           SALIDA PARA OSID (EMISOR - RECEPTOR)</t>
  </si>
  <si>
    <t xml:space="preserve">           PATCH CORD PLUG CAT 6A-RJ45 DE 3M (USUARIO)</t>
  </si>
  <si>
    <t xml:space="preserve">    EQUIPOS PERIFERICOS</t>
  </si>
  <si>
    <t xml:space="preserve">         PANTALLA INTERACTIVA</t>
  </si>
  <si>
    <t>SS</t>
  </si>
  <si>
    <t>1ER</t>
  </si>
  <si>
    <t>2DO</t>
  </si>
  <si>
    <t>3ER</t>
  </si>
  <si>
    <t>4T0</t>
  </si>
  <si>
    <t>5T0</t>
  </si>
  <si>
    <t>6T0</t>
  </si>
  <si>
    <t>COM</t>
  </si>
  <si>
    <t>SCE</t>
  </si>
  <si>
    <t>SSE</t>
  </si>
  <si>
    <t>DAI</t>
  </si>
  <si>
    <t>EMT3/4</t>
  </si>
  <si>
    <t>EMT1</t>
  </si>
  <si>
    <t>PVC3/4</t>
  </si>
  <si>
    <t>PVC2</t>
  </si>
  <si>
    <t>FLEX1/2</t>
  </si>
  <si>
    <t>TIP</t>
  </si>
  <si>
    <t>NVR</t>
  </si>
  <si>
    <t>CIP</t>
  </si>
  <si>
    <t>FACP</t>
  </si>
  <si>
    <t>DH</t>
  </si>
  <si>
    <t>DT</t>
  </si>
  <si>
    <t>DM</t>
  </si>
  <si>
    <t>DHPe</t>
  </si>
  <si>
    <t>DHPr</t>
  </si>
  <si>
    <t>EM</t>
  </si>
  <si>
    <t>BLE</t>
  </si>
  <si>
    <t>R</t>
  </si>
  <si>
    <t>SWPoE</t>
  </si>
  <si>
    <t>AP</t>
  </si>
  <si>
    <t>BP</t>
  </si>
  <si>
    <t>CAT6A</t>
  </si>
  <si>
    <t>CNAC</t>
  </si>
  <si>
    <t>CSLC</t>
  </si>
  <si>
    <t>G15RU</t>
  </si>
  <si>
    <t>PDUH</t>
  </si>
  <si>
    <t>PP24P</t>
  </si>
  <si>
    <t>PC1.5M</t>
  </si>
  <si>
    <t>PC3M</t>
  </si>
  <si>
    <t>ORD2U</t>
  </si>
  <si>
    <t>PBB</t>
  </si>
  <si>
    <t>SBB</t>
  </si>
  <si>
    <t>C16MM</t>
  </si>
  <si>
    <t>CERT</t>
  </si>
  <si>
    <t>CRV</t>
  </si>
  <si>
    <t>CONECT</t>
  </si>
  <si>
    <t>SSDP</t>
  </si>
  <si>
    <t>SDDP</t>
  </si>
  <si>
    <t>SDDM</t>
  </si>
  <si>
    <t>SSDTF</t>
  </si>
  <si>
    <t>SDH</t>
  </si>
  <si>
    <t>SDT</t>
  </si>
  <si>
    <t>SDM</t>
  </si>
  <si>
    <t>SEM</t>
  </si>
  <si>
    <t>SBLE</t>
  </si>
  <si>
    <t>SMA</t>
  </si>
  <si>
    <t>SMC</t>
  </si>
  <si>
    <t>SDHP</t>
  </si>
  <si>
    <t>PI</t>
  </si>
  <si>
    <t xml:space="preserve">           CAJA DE PASE CUADRADA 200x200x100mm</t>
  </si>
  <si>
    <t xml:space="preserve">           CAJA DE PASE CUADRADA 100x100x50mm</t>
  </si>
  <si>
    <t>CP1X1x5</t>
  </si>
  <si>
    <t>CP1X1x10</t>
  </si>
  <si>
    <t>CP2x2x10</t>
  </si>
  <si>
    <t xml:space="preserve">      MODULO AISLADOR DE FALLAS</t>
  </si>
  <si>
    <t xml:space="preserve">      MODULO DE CONTROL</t>
  </si>
  <si>
    <t>MA</t>
  </si>
  <si>
    <t>MC</t>
  </si>
  <si>
    <t>SSDM</t>
  </si>
  <si>
    <t xml:space="preserve">           PDU HORIZONTAL DE 220V - 10 TOMAS</t>
  </si>
  <si>
    <t xml:space="preserve">      TELEFONO IP DE MESA DE USO GENERAL</t>
  </si>
  <si>
    <t xml:space="preserve">      CAMARA IP FIJA MINI DOMO INTERIOR 5MP</t>
  </si>
  <si>
    <t>CBA</t>
  </si>
  <si>
    <t xml:space="preserve">      BANDEJA PORTACABLE TIPO REJILLA COLGADA EN TECHO 200x50x3000 mm (incluye soportes y accesorios)</t>
  </si>
  <si>
    <t xml:space="preserve">          CABLE S/FTP CATEGORÍA 6A SÓLIDO DE COBRE 23 AWG, LSZH 4 PARES</t>
  </si>
  <si>
    <t xml:space="preserve">           SALIDA SIMPLE DATA – FCR – AP/CAM</t>
  </si>
  <si>
    <t xml:space="preserve">           SALIDA PARA DETECTOR DE HUMO FCR</t>
  </si>
  <si>
    <t xml:space="preserve">           SALIDA PARA DETECTOR DE TEMPERATURA FCR</t>
  </si>
  <si>
    <t xml:space="preserve">           SALIDA PARA DETECTOR MULTIPROPOSITO TECHO</t>
  </si>
  <si>
    <t xml:space="preserve">         LECTOR BIOMETRICO PARA ASISTENCIA</t>
  </si>
  <si>
    <t>07</t>
  </si>
  <si>
    <t>07.01</t>
  </si>
  <si>
    <t>07.01.01</t>
  </si>
  <si>
    <t>07.01.02</t>
  </si>
  <si>
    <t>07.02</t>
  </si>
  <si>
    <t>07.02.01</t>
  </si>
  <si>
    <t>07.02.02</t>
  </si>
  <si>
    <t>07.02.03</t>
  </si>
  <si>
    <t>07.03</t>
  </si>
  <si>
    <t>07.03.01</t>
  </si>
  <si>
    <t>07.03.02</t>
  </si>
  <si>
    <t>07.03.03</t>
  </si>
  <si>
    <t>07.03.04</t>
  </si>
  <si>
    <t>07.03.05</t>
  </si>
  <si>
    <t>07.03.06</t>
  </si>
  <si>
    <t>07.03.07</t>
  </si>
  <si>
    <t>07.03.08</t>
  </si>
  <si>
    <t>07.03.09</t>
  </si>
  <si>
    <t>07.03.10</t>
  </si>
  <si>
    <t>07.03.11</t>
  </si>
  <si>
    <t>07.03.12</t>
  </si>
  <si>
    <t>07.04</t>
  </si>
  <si>
    <t>07.04.01</t>
  </si>
  <si>
    <t>07.04.02</t>
  </si>
  <si>
    <t>07.05</t>
  </si>
  <si>
    <t>07.05.01</t>
  </si>
  <si>
    <t>07.06</t>
  </si>
  <si>
    <t>07.06.01</t>
  </si>
  <si>
    <t>07.06.01.01</t>
  </si>
  <si>
    <t>07.06.02</t>
  </si>
  <si>
    <t>07.06.02.01</t>
  </si>
  <si>
    <t>07.06.02.02</t>
  </si>
  <si>
    <t>07.06.03</t>
  </si>
  <si>
    <t>07.06.03.01</t>
  </si>
  <si>
    <t>07.06.04.</t>
  </si>
  <si>
    <t>07.06.04.01</t>
  </si>
  <si>
    <t>07.06.04.01.01</t>
  </si>
  <si>
    <t>07.06.04.02</t>
  </si>
  <si>
    <t>07.06.04.02.01</t>
  </si>
  <si>
    <t>07.06.04.02.02</t>
  </si>
  <si>
    <t>07.06.04.02.03</t>
  </si>
  <si>
    <t>07.06.04.02.04</t>
  </si>
  <si>
    <t>07.06.05</t>
  </si>
  <si>
    <t>07.06.05.01</t>
  </si>
  <si>
    <t>07.06.05.02</t>
  </si>
  <si>
    <t>07.06.05.03</t>
  </si>
  <si>
    <t>07.06.05.04</t>
  </si>
  <si>
    <t>07.06.06</t>
  </si>
  <si>
    <t>07.06.06.01</t>
  </si>
  <si>
    <t>07.07</t>
  </si>
  <si>
    <t>07.07.01</t>
  </si>
  <si>
    <t>07.07.01.01</t>
  </si>
  <si>
    <t>07.07.01.02</t>
  </si>
  <si>
    <t>07.07.01.03</t>
  </si>
  <si>
    <t>07.07.01.04</t>
  </si>
  <si>
    <t>07.07.01.05</t>
  </si>
  <si>
    <t>07.07.02</t>
  </si>
  <si>
    <t>07.07.02.01</t>
  </si>
  <si>
    <t>07.07.03</t>
  </si>
  <si>
    <t>07.07.03.01</t>
  </si>
  <si>
    <t>07.07.03.02</t>
  </si>
  <si>
    <t>07.07.03.03</t>
  </si>
  <si>
    <t>07.07.03.04</t>
  </si>
  <si>
    <t>07.07.04</t>
  </si>
  <si>
    <t>07.07.04.01</t>
  </si>
  <si>
    <t>07.07.04.02</t>
  </si>
  <si>
    <t>07.07.04.03</t>
  </si>
  <si>
    <t>07.07.04.04</t>
  </si>
  <si>
    <t>07.07.04.05</t>
  </si>
  <si>
    <t>07.07.04.06</t>
  </si>
  <si>
    <t>07.07.04.07</t>
  </si>
  <si>
    <t>07.07.04.08</t>
  </si>
  <si>
    <t>07.07.04.09</t>
  </si>
  <si>
    <t>07.07.04.10</t>
  </si>
  <si>
    <t>07.07.04.11</t>
  </si>
  <si>
    <t>07.07.04.12</t>
  </si>
  <si>
    <t>07.07.04.13</t>
  </si>
  <si>
    <t>07.08</t>
  </si>
  <si>
    <t>07.08.01</t>
  </si>
  <si>
    <t>07.08.02</t>
  </si>
  <si>
    <t>MAYO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</si>
</sst>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000"/>
    <numFmt numFmtId="165" formatCode="mmmm\-yyyy"/>
  </numFmts>
  <fonts count="2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3"/>
      <name val="Arial Narrow"/>
      <family val="2"/>
    </font>
    <font>
      <sz val="3"/>
      <name val="Arial Narrow"/>
      <family val="2"/>
    </font>
    <font>
      <b/>
      <sz val="13"/>
      <name val="Arial Narrow"/>
      <family val="2"/>
    </font>
    <font>
      <b/>
      <sz val="10"/>
      <name val="Arial Narrow"/>
      <family val="2"/>
    </font>
    <font>
      <sz val="13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sz val="11"/>
      <name val="Arial Narrow"/>
      <family val="2"/>
    </font>
    <font>
      <sz val="8"/>
      <name val="Aptos Narrow"/>
      <family val="2"/>
      <scheme val="minor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8"/>
      <color theme="1"/>
      <name val="Arial Narrow"/>
      <family val="2"/>
    </font>
    <font>
      <sz val="8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>
      <alignment vertical="center"/>
    </xf>
  </cellStyleXfs>
  <cellXfs count="101">
    <xf numFmtId="0" fontId="0" fillId="0" borderId="0" xfId="0"/>
    <xf numFmtId="0" fontId="2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4" fontId="3" fillId="3" borderId="0" xfId="1" applyNumberFormat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0" fontId="5" fillId="3" borderId="9" xfId="1" applyFont="1" applyFill="1" applyBorder="1" applyAlignment="1">
      <alignment horizontal="left" vertical="center"/>
    </xf>
    <xf numFmtId="4" fontId="4" fillId="3" borderId="0" xfId="1" applyNumberFormat="1" applyFont="1" applyFill="1" applyAlignment="1">
      <alignment vertical="center"/>
    </xf>
    <xf numFmtId="0" fontId="4" fillId="3" borderId="0" xfId="1" applyFont="1" applyFill="1" applyAlignment="1">
      <alignment vertical="center"/>
    </xf>
    <xf numFmtId="2" fontId="6" fillId="3" borderId="10" xfId="1" applyNumberFormat="1" applyFont="1" applyFill="1" applyBorder="1" applyAlignment="1">
      <alignment vertical="center"/>
    </xf>
    <xf numFmtId="165" fontId="5" fillId="3" borderId="9" xfId="1" quotePrefix="1" applyNumberFormat="1" applyFont="1" applyFill="1" applyBorder="1" applyAlignment="1">
      <alignment horizontal="left" vertical="center"/>
    </xf>
    <xf numFmtId="4" fontId="6" fillId="3" borderId="0" xfId="1" applyNumberFormat="1" applyFont="1" applyFill="1" applyAlignment="1">
      <alignment vertical="center"/>
    </xf>
    <xf numFmtId="0" fontId="6" fillId="3" borderId="0" xfId="1" applyFont="1" applyFill="1" applyAlignment="1">
      <alignment vertical="center"/>
    </xf>
    <xf numFmtId="2" fontId="5" fillId="3" borderId="9" xfId="1" applyNumberFormat="1" applyFont="1" applyFill="1" applyBorder="1" applyAlignment="1">
      <alignment horizontal="left" vertical="center"/>
    </xf>
    <xf numFmtId="2" fontId="4" fillId="3" borderId="10" xfId="1" applyNumberFormat="1" applyFont="1" applyFill="1" applyBorder="1" applyAlignment="1">
      <alignment vertical="center"/>
    </xf>
    <xf numFmtId="2" fontId="7" fillId="0" borderId="22" xfId="1" applyNumberFormat="1" applyFont="1" applyBorder="1" applyAlignment="1">
      <alignment horizontal="center" vertical="center"/>
    </xf>
    <xf numFmtId="4" fontId="7" fillId="0" borderId="22" xfId="1" applyNumberFormat="1" applyFont="1" applyBorder="1" applyAlignment="1">
      <alignment horizontal="center" vertical="center"/>
    </xf>
    <xf numFmtId="4" fontId="7" fillId="0" borderId="23" xfId="1" applyNumberFormat="1" applyFont="1" applyBorder="1" applyAlignment="1">
      <alignment horizontal="center" vertical="center"/>
    </xf>
    <xf numFmtId="0" fontId="9" fillId="2" borderId="8" xfId="1" applyFont="1" applyFill="1" applyBorder="1" applyAlignment="1">
      <alignment horizontal="left" vertical="center"/>
    </xf>
    <xf numFmtId="0" fontId="9" fillId="2" borderId="11" xfId="1" applyFont="1" applyFill="1" applyBorder="1" applyAlignment="1">
      <alignment horizontal="left" vertical="center"/>
    </xf>
    <xf numFmtId="0" fontId="13" fillId="0" borderId="25" xfId="2" applyFont="1" applyBorder="1" applyProtection="1">
      <alignment vertical="center"/>
      <protection locked="0"/>
    </xf>
    <xf numFmtId="0" fontId="13" fillId="0" borderId="27" xfId="2" applyFont="1" applyBorder="1" applyProtection="1">
      <alignment vertical="center"/>
      <protection locked="0"/>
    </xf>
    <xf numFmtId="0" fontId="13" fillId="0" borderId="28" xfId="2" applyFont="1" applyBorder="1" applyProtection="1">
      <alignment vertical="center"/>
      <protection locked="0"/>
    </xf>
    <xf numFmtId="0" fontId="13" fillId="0" borderId="27" xfId="2" quotePrefix="1" applyFont="1" applyBorder="1" applyProtection="1">
      <alignment vertical="center"/>
      <protection locked="0"/>
    </xf>
    <xf numFmtId="0" fontId="13" fillId="0" borderId="32" xfId="2" quotePrefix="1" applyFont="1" applyBorder="1" applyProtection="1">
      <alignment vertical="center"/>
      <protection locked="0"/>
    </xf>
    <xf numFmtId="0" fontId="13" fillId="0" borderId="33" xfId="2" quotePrefix="1" applyFont="1" applyBorder="1" applyProtection="1">
      <alignment vertical="center"/>
      <protection locked="0"/>
    </xf>
    <xf numFmtId="0" fontId="8" fillId="0" borderId="21" xfId="0" applyFont="1" applyBorder="1" applyAlignment="1" applyProtection="1">
      <alignment vertical="center"/>
      <protection locked="0"/>
    </xf>
    <xf numFmtId="0" fontId="8" fillId="0" borderId="22" xfId="0" applyFont="1" applyBorder="1" applyAlignment="1" applyProtection="1">
      <alignment vertical="center"/>
      <protection locked="0"/>
    </xf>
    <xf numFmtId="0" fontId="8" fillId="0" borderId="25" xfId="2" applyBorder="1" applyProtection="1">
      <alignment vertical="center"/>
      <protection locked="0"/>
    </xf>
    <xf numFmtId="4" fontId="8" fillId="0" borderId="25" xfId="0" applyNumberFormat="1" applyFont="1" applyBorder="1" applyAlignment="1" applyProtection="1">
      <alignment vertical="center"/>
      <protection locked="0"/>
    </xf>
    <xf numFmtId="4" fontId="8" fillId="0" borderId="26" xfId="0" applyNumberFormat="1" applyFont="1" applyBorder="1" applyAlignment="1" applyProtection="1">
      <alignment vertical="center"/>
      <protection locked="0"/>
    </xf>
    <xf numFmtId="0" fontId="8" fillId="0" borderId="28" xfId="2" applyBorder="1" applyProtection="1">
      <alignment vertical="center"/>
      <protection locked="0"/>
    </xf>
    <xf numFmtId="4" fontId="8" fillId="0" borderId="28" xfId="0" applyNumberFormat="1" applyFont="1" applyBorder="1" applyAlignment="1" applyProtection="1">
      <alignment vertical="center"/>
      <protection locked="0"/>
    </xf>
    <xf numFmtId="4" fontId="8" fillId="0" borderId="29" xfId="0" applyNumberFormat="1" applyFont="1" applyBorder="1" applyAlignment="1" applyProtection="1">
      <alignment vertical="center"/>
      <protection locked="0"/>
    </xf>
    <xf numFmtId="0" fontId="8" fillId="0" borderId="27" xfId="2" applyBorder="1" applyProtection="1">
      <alignment vertical="center"/>
      <protection locked="0"/>
    </xf>
    <xf numFmtId="0" fontId="8" fillId="0" borderId="32" xfId="2" applyBorder="1" applyProtection="1">
      <alignment vertical="center"/>
      <protection locked="0"/>
    </xf>
    <xf numFmtId="0" fontId="12" fillId="0" borderId="0" xfId="0" applyFont="1"/>
    <xf numFmtId="0" fontId="12" fillId="0" borderId="3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/>
    <xf numFmtId="0" fontId="15" fillId="0" borderId="31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38" xfId="0" applyFont="1" applyBorder="1" applyAlignment="1">
      <alignment vertical="center"/>
    </xf>
    <xf numFmtId="0" fontId="16" fillId="0" borderId="36" xfId="0" applyFont="1" applyBorder="1" applyAlignment="1">
      <alignment vertical="center"/>
    </xf>
    <xf numFmtId="0" fontId="16" fillId="0" borderId="37" xfId="0" applyFont="1" applyBorder="1" applyAlignment="1">
      <alignment vertical="center"/>
    </xf>
    <xf numFmtId="0" fontId="13" fillId="0" borderId="24" xfId="2" quotePrefix="1" applyFont="1" applyBorder="1" applyProtection="1">
      <alignment vertical="center"/>
      <protection locked="0"/>
    </xf>
    <xf numFmtId="0" fontId="12" fillId="0" borderId="0" xfId="0" applyFont="1" applyFill="1" applyBorder="1"/>
    <xf numFmtId="0" fontId="15" fillId="0" borderId="0" xfId="0" applyFont="1" applyFill="1" applyBorder="1"/>
    <xf numFmtId="0" fontId="0" fillId="0" borderId="0" xfId="0" applyFill="1" applyBorder="1"/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19" fillId="0" borderId="0" xfId="0" applyFont="1" applyFill="1" applyBorder="1" applyAlignment="1">
      <alignment horizontal="right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2" borderId="2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left" vertical="center"/>
    </xf>
    <xf numFmtId="0" fontId="9" fillId="2" borderId="8" xfId="1" applyFont="1" applyFill="1" applyBorder="1" applyAlignment="1">
      <alignment horizontal="left" vertical="center"/>
    </xf>
    <xf numFmtId="0" fontId="5" fillId="3" borderId="5" xfId="1" applyFont="1" applyFill="1" applyBorder="1" applyAlignment="1">
      <alignment horizontal="left" vertical="center" wrapText="1"/>
    </xf>
    <xf numFmtId="0" fontId="5" fillId="3" borderId="6" xfId="1" applyFont="1" applyFill="1" applyBorder="1" applyAlignment="1">
      <alignment horizontal="left" vertical="center" wrapText="1"/>
    </xf>
    <xf numFmtId="0" fontId="5" fillId="3" borderId="7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2" fontId="5" fillId="3" borderId="12" xfId="1" applyNumberFormat="1" applyFont="1" applyFill="1" applyBorder="1" applyAlignment="1">
      <alignment horizontal="left" vertical="center" wrapText="1"/>
    </xf>
    <xf numFmtId="2" fontId="5" fillId="3" borderId="13" xfId="1" applyNumberFormat="1" applyFont="1" applyFill="1" applyBorder="1" applyAlignment="1">
      <alignment horizontal="left" vertical="center" wrapText="1"/>
    </xf>
    <xf numFmtId="2" fontId="5" fillId="3" borderId="14" xfId="1" applyNumberFormat="1" applyFont="1" applyFill="1" applyBorder="1" applyAlignment="1">
      <alignment horizontal="left" vertical="center" wrapText="1"/>
    </xf>
    <xf numFmtId="0" fontId="7" fillId="4" borderId="15" xfId="1" applyFont="1" applyFill="1" applyBorder="1" applyAlignment="1">
      <alignment horizontal="center" vertical="center"/>
    </xf>
    <xf numFmtId="0" fontId="7" fillId="4" borderId="18" xfId="1" applyFont="1" applyFill="1" applyBorder="1" applyAlignment="1">
      <alignment horizontal="center" vertical="center"/>
    </xf>
    <xf numFmtId="0" fontId="7" fillId="4" borderId="16" xfId="1" applyFont="1" applyFill="1" applyBorder="1" applyAlignment="1">
      <alignment horizontal="center" vertical="center"/>
    </xf>
    <xf numFmtId="0" fontId="7" fillId="4" borderId="19" xfId="1" applyFont="1" applyFill="1" applyBorder="1" applyAlignment="1">
      <alignment horizontal="center" vertical="center"/>
    </xf>
    <xf numFmtId="2" fontId="7" fillId="4" borderId="16" xfId="1" applyNumberFormat="1" applyFont="1" applyFill="1" applyBorder="1" applyAlignment="1">
      <alignment horizontal="center" vertical="center"/>
    </xf>
    <xf numFmtId="2" fontId="7" fillId="4" borderId="19" xfId="1" applyNumberFormat="1" applyFont="1" applyFill="1" applyBorder="1" applyAlignment="1">
      <alignment horizontal="center" vertical="center"/>
    </xf>
    <xf numFmtId="4" fontId="7" fillId="4" borderId="16" xfId="1" applyNumberFormat="1" applyFont="1" applyFill="1" applyBorder="1" applyAlignment="1">
      <alignment horizontal="center" vertical="center"/>
    </xf>
    <xf numFmtId="4" fontId="7" fillId="4" borderId="19" xfId="1" applyNumberFormat="1" applyFont="1" applyFill="1" applyBorder="1" applyAlignment="1">
      <alignment horizontal="center" vertical="center"/>
    </xf>
    <xf numFmtId="4" fontId="7" fillId="4" borderId="17" xfId="1" applyNumberFormat="1" applyFont="1" applyFill="1" applyBorder="1" applyAlignment="1">
      <alignment horizontal="center" vertical="center"/>
    </xf>
    <xf numFmtId="4" fontId="7" fillId="4" borderId="20" xfId="1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</cellXfs>
  <cellStyles count="3">
    <cellStyle name="Normal" xfId="0" builtinId="0"/>
    <cellStyle name="Normal 2" xfId="1" xr:uid="{51EDACF0-6475-436F-B0F3-8C9E970C77A1}"/>
    <cellStyle name="Normal 4" xfId="2" xr:uid="{59C44505-35F7-4B92-87CA-FE4305101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BCD3-C347-4688-98E9-990B60FE73AB}">
  <sheetPr codeName="Hoja2"/>
  <dimension ref="A1:AR124"/>
  <sheetViews>
    <sheetView tabSelected="1" view="pageBreakPreview" topLeftCell="A67" zoomScale="70" zoomScaleNormal="70" zoomScaleSheetLayoutView="70" workbookViewId="0">
      <selection activeCell="B7" sqref="B7"/>
    </sheetView>
  </sheetViews>
  <sheetFormatPr baseColWidth="10" defaultRowHeight="13.8"/>
  <cols>
    <col min="2" max="2" width="80.59765625" customWidth="1"/>
    <col min="3" max="3" width="5.796875" customWidth="1"/>
    <col min="4" max="4" width="6.8984375" customWidth="1"/>
    <col min="5" max="5" width="7" customWidth="1"/>
    <col min="6" max="6" width="2.59765625" customWidth="1"/>
    <col min="7" max="7" width="2.59765625" style="36" customWidth="1"/>
    <col min="8" max="8" width="10.59765625" style="41" customWidth="1"/>
    <col min="9" max="23" width="3.59765625" style="36" customWidth="1"/>
    <col min="24" max="36" width="3.59765625" customWidth="1"/>
    <col min="37" max="37" width="7.59765625" customWidth="1"/>
  </cols>
  <sheetData>
    <row r="1" spans="1:38" ht="21.6" thickBot="1">
      <c r="A1" s="76" t="s">
        <v>0</v>
      </c>
      <c r="B1" s="77"/>
      <c r="C1" s="77"/>
      <c r="D1" s="77"/>
      <c r="E1" s="78"/>
    </row>
    <row r="2" spans="1:38" ht="15" customHeight="1" thickBot="1">
      <c r="A2" s="1"/>
      <c r="B2" s="2"/>
      <c r="C2" s="3"/>
      <c r="D2" s="4"/>
      <c r="E2" s="5"/>
    </row>
    <row r="3" spans="1:38" ht="15" customHeight="1">
      <c r="A3" s="79" t="s">
        <v>1</v>
      </c>
      <c r="B3" s="81" t="s">
        <v>28</v>
      </c>
      <c r="C3" s="82"/>
      <c r="D3" s="82"/>
      <c r="E3" s="83"/>
    </row>
    <row r="4" spans="1:38" ht="15" customHeight="1">
      <c r="A4" s="80"/>
      <c r="B4" s="84"/>
      <c r="C4" s="85"/>
      <c r="D4" s="85"/>
      <c r="E4" s="86"/>
    </row>
    <row r="5" spans="1:38" ht="15" customHeight="1">
      <c r="A5" s="18" t="s">
        <v>2</v>
      </c>
      <c r="B5" s="6" t="s">
        <v>29</v>
      </c>
      <c r="C5" s="7"/>
      <c r="D5" s="8"/>
      <c r="E5" s="9"/>
    </row>
    <row r="6" spans="1:38" ht="15" customHeight="1">
      <c r="A6" s="18" t="s">
        <v>3</v>
      </c>
      <c r="B6" s="10" t="s">
        <v>244</v>
      </c>
      <c r="C6" s="11"/>
      <c r="D6" s="12"/>
      <c r="E6" s="9"/>
    </row>
    <row r="7" spans="1:38" ht="15" customHeight="1">
      <c r="A7" s="18" t="s">
        <v>4</v>
      </c>
      <c r="B7" s="13" t="s">
        <v>27</v>
      </c>
      <c r="C7" s="7"/>
      <c r="D7" s="8"/>
      <c r="E7" s="14"/>
    </row>
    <row r="8" spans="1:38" ht="15" customHeight="1" thickBot="1">
      <c r="A8" s="19" t="s">
        <v>5</v>
      </c>
      <c r="B8" s="87" t="s">
        <v>30</v>
      </c>
      <c r="C8" s="88"/>
      <c r="D8" s="88"/>
      <c r="E8" s="89"/>
    </row>
    <row r="9" spans="1:38" ht="15" customHeight="1" thickBot="1">
      <c r="A9" s="2"/>
      <c r="B9" s="2"/>
      <c r="C9" s="5"/>
      <c r="D9" s="3"/>
      <c r="E9" s="3"/>
    </row>
    <row r="10" spans="1:38" ht="15" customHeight="1">
      <c r="A10" s="90" t="s">
        <v>6</v>
      </c>
      <c r="B10" s="92" t="s">
        <v>7</v>
      </c>
      <c r="C10" s="94" t="s">
        <v>8</v>
      </c>
      <c r="D10" s="96" t="s">
        <v>9</v>
      </c>
      <c r="E10" s="98" t="s">
        <v>10</v>
      </c>
    </row>
    <row r="11" spans="1:38" ht="15" customHeight="1">
      <c r="A11" s="91"/>
      <c r="B11" s="93"/>
      <c r="C11" s="95"/>
      <c r="D11" s="97"/>
      <c r="E11" s="99"/>
    </row>
    <row r="12" spans="1:38" ht="15" customHeight="1" thickBot="1">
      <c r="A12" s="26"/>
      <c r="B12" s="27"/>
      <c r="C12" s="15"/>
      <c r="D12" s="16"/>
      <c r="E12" s="17"/>
    </row>
    <row r="13" spans="1:38" ht="15" customHeight="1">
      <c r="A13" s="58" t="s">
        <v>164</v>
      </c>
      <c r="B13" s="20" t="s">
        <v>27</v>
      </c>
      <c r="C13" s="28"/>
      <c r="D13" s="29"/>
      <c r="E13" s="30"/>
      <c r="I13" s="73" t="s">
        <v>84</v>
      </c>
      <c r="J13" s="74"/>
      <c r="K13" s="74"/>
      <c r="L13" s="75"/>
      <c r="M13" s="73" t="s">
        <v>85</v>
      </c>
      <c r="N13" s="74"/>
      <c r="O13" s="74"/>
      <c r="P13" s="75"/>
      <c r="Q13" s="73" t="s">
        <v>86</v>
      </c>
      <c r="R13" s="74"/>
      <c r="S13" s="74"/>
      <c r="T13" s="75"/>
      <c r="U13" s="73" t="s">
        <v>87</v>
      </c>
      <c r="V13" s="74"/>
      <c r="W13" s="74"/>
      <c r="X13" s="75"/>
      <c r="Y13" s="73" t="s">
        <v>88</v>
      </c>
      <c r="Z13" s="74"/>
      <c r="AA13" s="74"/>
      <c r="AB13" s="75"/>
      <c r="AC13" s="73" t="s">
        <v>89</v>
      </c>
      <c r="AD13" s="74"/>
      <c r="AE13" s="74"/>
      <c r="AF13" s="75"/>
      <c r="AG13" s="73" t="s">
        <v>90</v>
      </c>
      <c r="AH13" s="74"/>
      <c r="AI13" s="74"/>
      <c r="AJ13" s="75"/>
    </row>
    <row r="14" spans="1:38" ht="15" customHeight="1">
      <c r="A14" s="23" t="s">
        <v>165</v>
      </c>
      <c r="B14" s="22" t="s">
        <v>31</v>
      </c>
      <c r="C14" s="31"/>
      <c r="D14" s="32"/>
      <c r="E14" s="33"/>
      <c r="I14" s="43" t="s">
        <v>91</v>
      </c>
      <c r="J14" s="38" t="s">
        <v>92</v>
      </c>
      <c r="K14" s="38" t="s">
        <v>93</v>
      </c>
      <c r="L14" s="44" t="s">
        <v>94</v>
      </c>
      <c r="M14" s="43" t="s">
        <v>91</v>
      </c>
      <c r="N14" s="38" t="s">
        <v>92</v>
      </c>
      <c r="O14" s="38" t="s">
        <v>93</v>
      </c>
      <c r="P14" s="44" t="s">
        <v>94</v>
      </c>
      <c r="Q14" s="43" t="s">
        <v>91</v>
      </c>
      <c r="R14" s="38" t="s">
        <v>92</v>
      </c>
      <c r="S14" s="38" t="s">
        <v>93</v>
      </c>
      <c r="T14" s="44" t="s">
        <v>94</v>
      </c>
      <c r="U14" s="43" t="s">
        <v>91</v>
      </c>
      <c r="V14" s="38" t="s">
        <v>92</v>
      </c>
      <c r="W14" s="38" t="s">
        <v>93</v>
      </c>
      <c r="X14" s="44" t="s">
        <v>94</v>
      </c>
      <c r="Y14" s="43" t="s">
        <v>91</v>
      </c>
      <c r="Z14" s="38" t="s">
        <v>92</v>
      </c>
      <c r="AA14" s="38" t="s">
        <v>93</v>
      </c>
      <c r="AB14" s="44" t="s">
        <v>94</v>
      </c>
      <c r="AC14" s="43" t="s">
        <v>91</v>
      </c>
      <c r="AD14" s="38" t="s">
        <v>92</v>
      </c>
      <c r="AE14" s="38" t="s">
        <v>93</v>
      </c>
      <c r="AF14" s="44" t="s">
        <v>94</v>
      </c>
      <c r="AG14" s="43" t="s">
        <v>91</v>
      </c>
      <c r="AH14" s="38" t="s">
        <v>92</v>
      </c>
      <c r="AI14" s="38" t="s">
        <v>93</v>
      </c>
      <c r="AJ14" s="44" t="s">
        <v>94</v>
      </c>
    </row>
    <row r="15" spans="1:38" ht="15" customHeight="1">
      <c r="A15" s="34" t="s">
        <v>166</v>
      </c>
      <c r="B15" s="31" t="s">
        <v>154</v>
      </c>
      <c r="C15" s="31" t="s">
        <v>11</v>
      </c>
      <c r="D15" s="32">
        <f>AK15</f>
        <v>3</v>
      </c>
      <c r="E15" s="33">
        <f>D15</f>
        <v>3</v>
      </c>
      <c r="H15" s="42" t="s">
        <v>100</v>
      </c>
      <c r="I15" s="45"/>
      <c r="J15" s="37"/>
      <c r="K15" s="37"/>
      <c r="L15" s="46"/>
      <c r="M15" s="45"/>
      <c r="N15" s="37">
        <v>3</v>
      </c>
      <c r="O15" s="39"/>
      <c r="P15" s="48"/>
      <c r="Q15" s="47"/>
      <c r="R15" s="39"/>
      <c r="S15" s="39"/>
      <c r="T15" s="48"/>
      <c r="U15" s="47"/>
      <c r="V15" s="39"/>
      <c r="W15" s="39"/>
      <c r="X15" s="52"/>
      <c r="Y15" s="53"/>
      <c r="Z15" s="54"/>
      <c r="AA15" s="54"/>
      <c r="AB15" s="52"/>
      <c r="AC15" s="53"/>
      <c r="AD15" s="54"/>
      <c r="AE15" s="54"/>
      <c r="AF15" s="52"/>
      <c r="AG15" s="53"/>
      <c r="AH15" s="54"/>
      <c r="AI15" s="54"/>
      <c r="AJ15" s="52"/>
      <c r="AK15" s="40">
        <f>SUM(I15:AJ15)</f>
        <v>3</v>
      </c>
      <c r="AL15" t="str">
        <f>C15</f>
        <v>und</v>
      </c>
    </row>
    <row r="16" spans="1:38" ht="15" customHeight="1">
      <c r="A16" s="34" t="s">
        <v>167</v>
      </c>
      <c r="B16" s="31" t="s">
        <v>32</v>
      </c>
      <c r="C16" s="31" t="s">
        <v>15</v>
      </c>
      <c r="D16" s="32">
        <v>1</v>
      </c>
      <c r="E16" s="33">
        <f t="shared" ref="E16" si="0">D16</f>
        <v>1</v>
      </c>
    </row>
    <row r="17" spans="1:38" ht="15" customHeight="1">
      <c r="A17" s="23" t="s">
        <v>168</v>
      </c>
      <c r="B17" s="22" t="s">
        <v>14</v>
      </c>
      <c r="C17" s="31"/>
      <c r="D17" s="32"/>
      <c r="E17" s="33"/>
    </row>
    <row r="18" spans="1:38" ht="15" customHeight="1">
      <c r="A18" s="34" t="s">
        <v>169</v>
      </c>
      <c r="B18" s="31" t="s">
        <v>23</v>
      </c>
      <c r="C18" s="31" t="s">
        <v>11</v>
      </c>
      <c r="D18" s="32">
        <f>AK18</f>
        <v>1</v>
      </c>
      <c r="E18" s="33">
        <f>D18</f>
        <v>1</v>
      </c>
      <c r="H18" s="42" t="s">
        <v>101</v>
      </c>
      <c r="I18" s="45"/>
      <c r="J18" s="37"/>
      <c r="K18" s="37"/>
      <c r="L18" s="46"/>
      <c r="M18" s="45"/>
      <c r="N18" s="37"/>
      <c r="O18" s="39">
        <v>1</v>
      </c>
      <c r="P18" s="48"/>
      <c r="Q18" s="47"/>
      <c r="R18" s="39"/>
      <c r="S18" s="39"/>
      <c r="T18" s="48"/>
      <c r="U18" s="47"/>
      <c r="V18" s="39"/>
      <c r="W18" s="39"/>
      <c r="X18" s="52"/>
      <c r="Y18" s="53"/>
      <c r="Z18" s="54"/>
      <c r="AA18" s="54"/>
      <c r="AB18" s="52"/>
      <c r="AC18" s="53"/>
      <c r="AD18" s="54"/>
      <c r="AE18" s="54"/>
      <c r="AF18" s="52"/>
      <c r="AG18" s="53"/>
      <c r="AH18" s="54"/>
      <c r="AI18" s="54"/>
      <c r="AJ18" s="52"/>
      <c r="AK18" s="40">
        <f>SUM(I18:AJ18)</f>
        <v>1</v>
      </c>
      <c r="AL18" t="str">
        <f>C18</f>
        <v>und</v>
      </c>
    </row>
    <row r="19" spans="1:38" ht="15" customHeight="1">
      <c r="A19" s="34" t="s">
        <v>170</v>
      </c>
      <c r="B19" s="31" t="s">
        <v>155</v>
      </c>
      <c r="C19" s="31" t="s">
        <v>11</v>
      </c>
      <c r="D19" s="32">
        <f>AK19</f>
        <v>37</v>
      </c>
      <c r="E19" s="33">
        <f t="shared" ref="E19:E36" si="1">D19</f>
        <v>37</v>
      </c>
      <c r="H19" s="42" t="s">
        <v>102</v>
      </c>
      <c r="I19" s="45"/>
      <c r="J19" s="37"/>
      <c r="K19" s="37">
        <v>10</v>
      </c>
      <c r="L19" s="46"/>
      <c r="M19" s="45"/>
      <c r="N19" s="37"/>
      <c r="O19" s="39">
        <v>5</v>
      </c>
      <c r="P19" s="48"/>
      <c r="Q19" s="47"/>
      <c r="R19" s="39"/>
      <c r="S19" s="39">
        <v>5</v>
      </c>
      <c r="T19" s="48"/>
      <c r="U19" s="47"/>
      <c r="V19" s="39"/>
      <c r="W19" s="39">
        <v>3</v>
      </c>
      <c r="X19" s="52"/>
      <c r="Y19" s="53"/>
      <c r="Z19" s="54"/>
      <c r="AA19" s="54">
        <v>5</v>
      </c>
      <c r="AB19" s="52"/>
      <c r="AC19" s="53"/>
      <c r="AD19" s="54"/>
      <c r="AE19" s="54">
        <v>6</v>
      </c>
      <c r="AF19" s="52"/>
      <c r="AG19" s="53"/>
      <c r="AH19" s="54"/>
      <c r="AI19" s="54">
        <v>3</v>
      </c>
      <c r="AJ19" s="52"/>
      <c r="AK19" s="40">
        <f>SUM(I19:AJ19)</f>
        <v>37</v>
      </c>
      <c r="AL19" t="str">
        <f>C19</f>
        <v>und</v>
      </c>
    </row>
    <row r="20" spans="1:38" ht="15" customHeight="1">
      <c r="A20" s="34" t="s">
        <v>171</v>
      </c>
      <c r="B20" s="31" t="s">
        <v>13</v>
      </c>
      <c r="C20" s="31" t="s">
        <v>15</v>
      </c>
      <c r="D20" s="32">
        <v>1</v>
      </c>
      <c r="E20" s="33">
        <f t="shared" si="1"/>
        <v>1</v>
      </c>
    </row>
    <row r="21" spans="1:38" ht="15" customHeight="1">
      <c r="A21" s="23" t="s">
        <v>172</v>
      </c>
      <c r="B21" s="22" t="s">
        <v>33</v>
      </c>
      <c r="C21" s="31"/>
      <c r="D21" s="32"/>
      <c r="E21" s="33"/>
    </row>
    <row r="22" spans="1:38" ht="15" customHeight="1">
      <c r="A22" s="34" t="s">
        <v>173</v>
      </c>
      <c r="B22" s="31" t="s">
        <v>34</v>
      </c>
      <c r="C22" s="31" t="s">
        <v>11</v>
      </c>
      <c r="D22" s="32">
        <f t="shared" ref="D22:D32" si="2">AK22</f>
        <v>1</v>
      </c>
      <c r="E22" s="33">
        <f>D22</f>
        <v>1</v>
      </c>
      <c r="H22" s="42" t="s">
        <v>103</v>
      </c>
      <c r="I22" s="45"/>
      <c r="J22" s="37"/>
      <c r="K22" s="37"/>
      <c r="L22" s="46"/>
      <c r="M22" s="45"/>
      <c r="N22" s="37"/>
      <c r="O22" s="39"/>
      <c r="P22" s="48">
        <v>1</v>
      </c>
      <c r="Q22" s="47"/>
      <c r="R22" s="39"/>
      <c r="S22" s="39"/>
      <c r="T22" s="48"/>
      <c r="U22" s="47"/>
      <c r="V22" s="39"/>
      <c r="W22" s="39"/>
      <c r="X22" s="52"/>
      <c r="Y22" s="53"/>
      <c r="Z22" s="54"/>
      <c r="AA22" s="54"/>
      <c r="AB22" s="52"/>
      <c r="AC22" s="53"/>
      <c r="AD22" s="54"/>
      <c r="AE22" s="54"/>
      <c r="AF22" s="52"/>
      <c r="AG22" s="53"/>
      <c r="AH22" s="54"/>
      <c r="AI22" s="54"/>
      <c r="AJ22" s="52"/>
      <c r="AK22" s="40">
        <f t="shared" ref="AK22:AK32" si="3">SUM(I22:AJ22)</f>
        <v>1</v>
      </c>
      <c r="AL22" t="str">
        <f t="shared" ref="AL22:AL32" si="4">C22</f>
        <v>und</v>
      </c>
    </row>
    <row r="23" spans="1:38" ht="15" customHeight="1">
      <c r="A23" s="34" t="s">
        <v>174</v>
      </c>
      <c r="B23" s="31" t="s">
        <v>35</v>
      </c>
      <c r="C23" s="31" t="s">
        <v>11</v>
      </c>
      <c r="D23" s="32">
        <f t="shared" si="2"/>
        <v>86</v>
      </c>
      <c r="E23" s="33">
        <f t="shared" ref="E23:E26" si="5">D23</f>
        <v>86</v>
      </c>
      <c r="H23" s="42" t="s">
        <v>104</v>
      </c>
      <c r="I23" s="47"/>
      <c r="J23" s="39"/>
      <c r="K23" s="39"/>
      <c r="L23" s="48">
        <v>8</v>
      </c>
      <c r="M23" s="47"/>
      <c r="N23" s="39"/>
      <c r="O23" s="39"/>
      <c r="P23" s="48">
        <v>12</v>
      </c>
      <c r="Q23" s="47"/>
      <c r="R23" s="39"/>
      <c r="S23" s="39"/>
      <c r="T23" s="48">
        <v>14</v>
      </c>
      <c r="U23" s="47"/>
      <c r="V23" s="39"/>
      <c r="W23" s="39"/>
      <c r="X23" s="52">
        <v>13</v>
      </c>
      <c r="Y23" s="53"/>
      <c r="Z23" s="54"/>
      <c r="AA23" s="54"/>
      <c r="AB23" s="52">
        <v>13</v>
      </c>
      <c r="AC23" s="53"/>
      <c r="AD23" s="54"/>
      <c r="AE23" s="54"/>
      <c r="AF23" s="52">
        <v>12</v>
      </c>
      <c r="AG23" s="53"/>
      <c r="AH23" s="54"/>
      <c r="AI23" s="54"/>
      <c r="AJ23" s="52">
        <v>14</v>
      </c>
      <c r="AK23" s="40">
        <f t="shared" si="3"/>
        <v>86</v>
      </c>
      <c r="AL23" t="str">
        <f t="shared" si="4"/>
        <v>und</v>
      </c>
    </row>
    <row r="24" spans="1:38" ht="15" customHeight="1">
      <c r="A24" s="34" t="s">
        <v>175</v>
      </c>
      <c r="B24" s="31" t="s">
        <v>36</v>
      </c>
      <c r="C24" s="31" t="s">
        <v>11</v>
      </c>
      <c r="D24" s="32">
        <f t="shared" si="2"/>
        <v>1</v>
      </c>
      <c r="E24" s="33">
        <f t="shared" si="5"/>
        <v>1</v>
      </c>
      <c r="H24" s="42" t="s">
        <v>105</v>
      </c>
      <c r="I24" s="47"/>
      <c r="J24" s="39"/>
      <c r="K24" s="39"/>
      <c r="L24" s="48"/>
      <c r="M24" s="47"/>
      <c r="N24" s="39"/>
      <c r="O24" s="39"/>
      <c r="P24" s="48"/>
      <c r="Q24" s="47"/>
      <c r="R24" s="39"/>
      <c r="S24" s="39"/>
      <c r="T24" s="48"/>
      <c r="U24" s="47"/>
      <c r="V24" s="39"/>
      <c r="W24" s="39"/>
      <c r="X24" s="52">
        <v>1</v>
      </c>
      <c r="Y24" s="53"/>
      <c r="Z24" s="54"/>
      <c r="AA24" s="54"/>
      <c r="AB24" s="52"/>
      <c r="AC24" s="53"/>
      <c r="AD24" s="54"/>
      <c r="AE24" s="54"/>
      <c r="AF24" s="52"/>
      <c r="AG24" s="53"/>
      <c r="AH24" s="54"/>
      <c r="AI24" s="54"/>
      <c r="AJ24" s="52"/>
      <c r="AK24" s="40">
        <f t="shared" si="3"/>
        <v>1</v>
      </c>
      <c r="AL24" t="str">
        <f t="shared" si="4"/>
        <v>und</v>
      </c>
    </row>
    <row r="25" spans="1:38" ht="15" customHeight="1">
      <c r="A25" s="34" t="s">
        <v>176</v>
      </c>
      <c r="B25" s="31" t="s">
        <v>37</v>
      </c>
      <c r="C25" s="31" t="s">
        <v>11</v>
      </c>
      <c r="D25" s="32">
        <f t="shared" si="2"/>
        <v>18</v>
      </c>
      <c r="E25" s="33">
        <f t="shared" si="5"/>
        <v>18</v>
      </c>
      <c r="H25" s="42" t="s">
        <v>106</v>
      </c>
      <c r="I25" s="47"/>
      <c r="J25" s="39"/>
      <c r="K25" s="39"/>
      <c r="L25" s="48">
        <v>2</v>
      </c>
      <c r="M25" s="47"/>
      <c r="N25" s="39"/>
      <c r="O25" s="39"/>
      <c r="P25" s="48">
        <v>2</v>
      </c>
      <c r="Q25" s="47"/>
      <c r="R25" s="39"/>
      <c r="S25" s="39"/>
      <c r="T25" s="48">
        <v>2</v>
      </c>
      <c r="U25" s="47"/>
      <c r="V25" s="39"/>
      <c r="W25" s="39"/>
      <c r="X25" s="52">
        <v>3</v>
      </c>
      <c r="Y25" s="53"/>
      <c r="Z25" s="54"/>
      <c r="AA25" s="54"/>
      <c r="AB25" s="52">
        <v>4</v>
      </c>
      <c r="AC25" s="53"/>
      <c r="AD25" s="54"/>
      <c r="AE25" s="54"/>
      <c r="AF25" s="52">
        <v>3</v>
      </c>
      <c r="AG25" s="53"/>
      <c r="AH25" s="54"/>
      <c r="AI25" s="54"/>
      <c r="AJ25" s="52">
        <v>2</v>
      </c>
      <c r="AK25" s="40">
        <f t="shared" si="3"/>
        <v>18</v>
      </c>
      <c r="AL25" t="str">
        <f t="shared" si="4"/>
        <v>und</v>
      </c>
    </row>
    <row r="26" spans="1:38" ht="15" customHeight="1">
      <c r="A26" s="34" t="s">
        <v>177</v>
      </c>
      <c r="B26" s="31" t="s">
        <v>39</v>
      </c>
      <c r="C26" s="31" t="s">
        <v>11</v>
      </c>
      <c r="D26" s="32">
        <f t="shared" si="2"/>
        <v>7</v>
      </c>
      <c r="E26" s="33">
        <f t="shared" si="5"/>
        <v>7</v>
      </c>
      <c r="H26" s="42" t="s">
        <v>107</v>
      </c>
      <c r="I26" s="47"/>
      <c r="J26" s="39"/>
      <c r="K26" s="39"/>
      <c r="L26" s="48">
        <v>7</v>
      </c>
      <c r="M26" s="47"/>
      <c r="N26" s="39"/>
      <c r="O26" s="39"/>
      <c r="P26" s="48"/>
      <c r="Q26" s="47"/>
      <c r="R26" s="39"/>
      <c r="S26" s="39"/>
      <c r="T26" s="48"/>
      <c r="U26" s="47"/>
      <c r="V26" s="39"/>
      <c r="W26" s="39"/>
      <c r="X26" s="52"/>
      <c r="Y26" s="53"/>
      <c r="Z26" s="54"/>
      <c r="AA26" s="54"/>
      <c r="AB26" s="52"/>
      <c r="AC26" s="53"/>
      <c r="AD26" s="54"/>
      <c r="AE26" s="54"/>
      <c r="AF26" s="52"/>
      <c r="AG26" s="53"/>
      <c r="AH26" s="54"/>
      <c r="AI26" s="54"/>
      <c r="AJ26" s="52"/>
      <c r="AK26" s="40">
        <f t="shared" si="3"/>
        <v>7</v>
      </c>
      <c r="AL26" t="str">
        <f t="shared" si="4"/>
        <v>und</v>
      </c>
    </row>
    <row r="27" spans="1:38" ht="15" customHeight="1">
      <c r="A27" s="34" t="s">
        <v>178</v>
      </c>
      <c r="B27" s="31" t="s">
        <v>38</v>
      </c>
      <c r="C27" s="31" t="s">
        <v>11</v>
      </c>
      <c r="D27" s="32">
        <f t="shared" si="2"/>
        <v>1</v>
      </c>
      <c r="E27" s="33">
        <f t="shared" ref="E27:E33" si="6">D27</f>
        <v>1</v>
      </c>
      <c r="H27" s="42" t="s">
        <v>108</v>
      </c>
      <c r="I27" s="47"/>
      <c r="J27" s="39"/>
      <c r="K27" s="39"/>
      <c r="L27" s="48">
        <v>1</v>
      </c>
      <c r="M27" s="47"/>
      <c r="N27" s="39"/>
      <c r="O27" s="39"/>
      <c r="P27" s="48"/>
      <c r="Q27" s="47"/>
      <c r="R27" s="39"/>
      <c r="S27" s="39"/>
      <c r="T27" s="48"/>
      <c r="U27" s="47"/>
      <c r="V27" s="39"/>
      <c r="W27" s="39"/>
      <c r="X27" s="52"/>
      <c r="Y27" s="53"/>
      <c r="Z27" s="54"/>
      <c r="AA27" s="54"/>
      <c r="AB27" s="52"/>
      <c r="AC27" s="53"/>
      <c r="AD27" s="54"/>
      <c r="AE27" s="54"/>
      <c r="AF27" s="52"/>
      <c r="AG27" s="53"/>
      <c r="AH27" s="54"/>
      <c r="AI27" s="54"/>
      <c r="AJ27" s="52"/>
      <c r="AK27" s="40">
        <f t="shared" si="3"/>
        <v>1</v>
      </c>
      <c r="AL27" t="str">
        <f t="shared" si="4"/>
        <v>und</v>
      </c>
    </row>
    <row r="28" spans="1:38" ht="15" customHeight="1">
      <c r="A28" s="34" t="s">
        <v>179</v>
      </c>
      <c r="B28" s="31" t="s">
        <v>40</v>
      </c>
      <c r="C28" s="31" t="s">
        <v>11</v>
      </c>
      <c r="D28" s="32">
        <f t="shared" si="2"/>
        <v>8</v>
      </c>
      <c r="E28" s="33">
        <f t="shared" ref="E28:E29" si="7">D28</f>
        <v>8</v>
      </c>
      <c r="H28" s="42" t="s">
        <v>109</v>
      </c>
      <c r="I28" s="47"/>
      <c r="J28" s="39"/>
      <c r="K28" s="39"/>
      <c r="L28" s="48">
        <v>2</v>
      </c>
      <c r="M28" s="47"/>
      <c r="N28" s="39"/>
      <c r="O28" s="39"/>
      <c r="P28" s="48">
        <v>1</v>
      </c>
      <c r="Q28" s="47"/>
      <c r="R28" s="39"/>
      <c r="S28" s="39"/>
      <c r="T28" s="48">
        <v>1</v>
      </c>
      <c r="U28" s="47"/>
      <c r="V28" s="39"/>
      <c r="W28" s="39"/>
      <c r="X28" s="52">
        <v>1</v>
      </c>
      <c r="Y28" s="53"/>
      <c r="Z28" s="54"/>
      <c r="AA28" s="54"/>
      <c r="AB28" s="52">
        <v>1</v>
      </c>
      <c r="AC28" s="53"/>
      <c r="AD28" s="54"/>
      <c r="AE28" s="54"/>
      <c r="AF28" s="52">
        <v>1</v>
      </c>
      <c r="AG28" s="53"/>
      <c r="AH28" s="54"/>
      <c r="AI28" s="54"/>
      <c r="AJ28" s="52">
        <v>1</v>
      </c>
      <c r="AK28" s="40">
        <f t="shared" si="3"/>
        <v>8</v>
      </c>
      <c r="AL28" t="str">
        <f t="shared" si="4"/>
        <v>und</v>
      </c>
    </row>
    <row r="29" spans="1:38" ht="15" customHeight="1">
      <c r="A29" s="34" t="s">
        <v>180</v>
      </c>
      <c r="B29" s="31" t="s">
        <v>41</v>
      </c>
      <c r="C29" s="31" t="s">
        <v>11</v>
      </c>
      <c r="D29" s="32">
        <f t="shared" si="2"/>
        <v>8</v>
      </c>
      <c r="E29" s="33">
        <f t="shared" si="7"/>
        <v>8</v>
      </c>
      <c r="H29" s="42" t="s">
        <v>110</v>
      </c>
      <c r="I29" s="47"/>
      <c r="J29" s="39"/>
      <c r="K29" s="39"/>
      <c r="L29" s="48">
        <v>2</v>
      </c>
      <c r="M29" s="47"/>
      <c r="N29" s="39"/>
      <c r="O29" s="39"/>
      <c r="P29" s="48">
        <v>1</v>
      </c>
      <c r="Q29" s="47"/>
      <c r="R29" s="39"/>
      <c r="S29" s="39"/>
      <c r="T29" s="48">
        <v>1</v>
      </c>
      <c r="U29" s="47"/>
      <c r="V29" s="39"/>
      <c r="W29" s="39"/>
      <c r="X29" s="52">
        <v>1</v>
      </c>
      <c r="Y29" s="53"/>
      <c r="Z29" s="54"/>
      <c r="AA29" s="54"/>
      <c r="AB29" s="52">
        <v>1</v>
      </c>
      <c r="AC29" s="53"/>
      <c r="AD29" s="54"/>
      <c r="AE29" s="54"/>
      <c r="AF29" s="52">
        <v>1</v>
      </c>
      <c r="AG29" s="53"/>
      <c r="AH29" s="54"/>
      <c r="AI29" s="54"/>
      <c r="AJ29" s="52">
        <v>1</v>
      </c>
      <c r="AK29" s="40">
        <f t="shared" si="3"/>
        <v>8</v>
      </c>
      <c r="AL29" t="str">
        <f t="shared" si="4"/>
        <v>und</v>
      </c>
    </row>
    <row r="30" spans="1:38" ht="15" customHeight="1">
      <c r="A30" s="34" t="s">
        <v>181</v>
      </c>
      <c r="B30" s="31" t="s">
        <v>148</v>
      </c>
      <c r="C30" s="31" t="s">
        <v>11</v>
      </c>
      <c r="D30" s="32">
        <f t="shared" si="2"/>
        <v>1</v>
      </c>
      <c r="E30" s="33">
        <f t="shared" ref="E30:E31" si="8">D30</f>
        <v>1</v>
      </c>
      <c r="H30" s="42" t="s">
        <v>150</v>
      </c>
      <c r="I30" s="47"/>
      <c r="J30" s="39"/>
      <c r="K30" s="39"/>
      <c r="L30" s="48"/>
      <c r="M30" s="47"/>
      <c r="N30" s="39"/>
      <c r="O30" s="39"/>
      <c r="P30" s="48">
        <v>1</v>
      </c>
      <c r="Q30" s="47"/>
      <c r="R30" s="39"/>
      <c r="S30" s="39"/>
      <c r="T30" s="48"/>
      <c r="U30" s="47"/>
      <c r="V30" s="39"/>
      <c r="W30" s="39"/>
      <c r="X30" s="52"/>
      <c r="Y30" s="53"/>
      <c r="Z30" s="54"/>
      <c r="AA30" s="54"/>
      <c r="AB30" s="52"/>
      <c r="AC30" s="53"/>
      <c r="AD30" s="54"/>
      <c r="AE30" s="54"/>
      <c r="AF30" s="52"/>
      <c r="AG30" s="53"/>
      <c r="AH30" s="54"/>
      <c r="AI30" s="54"/>
      <c r="AJ30" s="52"/>
      <c r="AK30" s="40">
        <f t="shared" si="3"/>
        <v>1</v>
      </c>
      <c r="AL30" t="str">
        <f t="shared" si="4"/>
        <v>und</v>
      </c>
    </row>
    <row r="31" spans="1:38" ht="15" customHeight="1">
      <c r="A31" s="34" t="s">
        <v>182</v>
      </c>
      <c r="B31" s="31" t="s">
        <v>149</v>
      </c>
      <c r="C31" s="31" t="s">
        <v>11</v>
      </c>
      <c r="D31" s="32">
        <f t="shared" si="2"/>
        <v>1</v>
      </c>
      <c r="E31" s="33">
        <f t="shared" si="8"/>
        <v>1</v>
      </c>
      <c r="H31" s="42" t="s">
        <v>151</v>
      </c>
      <c r="I31" s="47"/>
      <c r="J31" s="39"/>
      <c r="K31" s="39"/>
      <c r="L31" s="48"/>
      <c r="M31" s="47"/>
      <c r="N31" s="39"/>
      <c r="O31" s="39"/>
      <c r="P31" s="48">
        <v>1</v>
      </c>
      <c r="Q31" s="47"/>
      <c r="R31" s="39"/>
      <c r="S31" s="39"/>
      <c r="T31" s="48"/>
      <c r="U31" s="47"/>
      <c r="V31" s="39"/>
      <c r="W31" s="39"/>
      <c r="X31" s="52"/>
      <c r="Y31" s="53"/>
      <c r="Z31" s="54"/>
      <c r="AA31" s="54"/>
      <c r="AB31" s="52"/>
      <c r="AC31" s="53"/>
      <c r="AD31" s="54"/>
      <c r="AE31" s="54"/>
      <c r="AF31" s="52"/>
      <c r="AG31" s="53"/>
      <c r="AH31" s="54"/>
      <c r="AI31" s="54"/>
      <c r="AJ31" s="52"/>
      <c r="AK31" s="40">
        <f t="shared" si="3"/>
        <v>1</v>
      </c>
      <c r="AL31" t="str">
        <f t="shared" si="4"/>
        <v>und</v>
      </c>
    </row>
    <row r="32" spans="1:38" ht="15" customHeight="1">
      <c r="A32" s="34" t="s">
        <v>183</v>
      </c>
      <c r="B32" s="31" t="s">
        <v>42</v>
      </c>
      <c r="C32" s="35" t="s">
        <v>11</v>
      </c>
      <c r="D32" s="32">
        <f t="shared" si="2"/>
        <v>1</v>
      </c>
      <c r="E32" s="33">
        <f t="shared" ref="E32" si="9">D32</f>
        <v>1</v>
      </c>
      <c r="H32" s="42" t="s">
        <v>111</v>
      </c>
      <c r="I32" s="47"/>
      <c r="J32" s="39"/>
      <c r="K32" s="39"/>
      <c r="L32" s="48">
        <v>1</v>
      </c>
      <c r="M32" s="47"/>
      <c r="N32" s="39"/>
      <c r="O32" s="39"/>
      <c r="P32" s="48"/>
      <c r="Q32" s="47"/>
      <c r="R32" s="39"/>
      <c r="S32" s="39"/>
      <c r="T32" s="48"/>
      <c r="U32" s="47"/>
      <c r="V32" s="39"/>
      <c r="W32" s="39"/>
      <c r="X32" s="52"/>
      <c r="Y32" s="53"/>
      <c r="Z32" s="54"/>
      <c r="AA32" s="54"/>
      <c r="AB32" s="52"/>
      <c r="AC32" s="53"/>
      <c r="AD32" s="54"/>
      <c r="AE32" s="54"/>
      <c r="AF32" s="52"/>
      <c r="AG32" s="53"/>
      <c r="AH32" s="54"/>
      <c r="AI32" s="54"/>
      <c r="AJ32" s="52"/>
      <c r="AK32" s="40">
        <f t="shared" si="3"/>
        <v>1</v>
      </c>
      <c r="AL32" t="str">
        <f t="shared" si="4"/>
        <v>und</v>
      </c>
    </row>
    <row r="33" spans="1:38" ht="15" customHeight="1">
      <c r="A33" s="34" t="s">
        <v>184</v>
      </c>
      <c r="B33" s="31" t="s">
        <v>43</v>
      </c>
      <c r="C33" s="35" t="s">
        <v>15</v>
      </c>
      <c r="D33" s="32">
        <v>1</v>
      </c>
      <c r="E33" s="33">
        <f t="shared" si="6"/>
        <v>1</v>
      </c>
    </row>
    <row r="34" spans="1:38" ht="15" customHeight="1">
      <c r="A34" s="23" t="s">
        <v>185</v>
      </c>
      <c r="B34" s="25" t="s">
        <v>24</v>
      </c>
      <c r="C34" s="35"/>
      <c r="D34" s="32"/>
      <c r="E34" s="33"/>
    </row>
    <row r="35" spans="1:38" ht="15" customHeight="1">
      <c r="A35" s="34" t="s">
        <v>186</v>
      </c>
      <c r="B35" s="35" t="s">
        <v>25</v>
      </c>
      <c r="C35" s="31" t="s">
        <v>11</v>
      </c>
      <c r="D35" s="32">
        <f>AK35</f>
        <v>9</v>
      </c>
      <c r="E35" s="33">
        <f t="shared" si="1"/>
        <v>9</v>
      </c>
      <c r="H35" s="42" t="s">
        <v>112</v>
      </c>
      <c r="I35" s="47"/>
      <c r="J35" s="39">
        <v>1</v>
      </c>
      <c r="K35" s="39"/>
      <c r="L35" s="48"/>
      <c r="M35" s="47"/>
      <c r="N35" s="39">
        <v>1</v>
      </c>
      <c r="O35" s="39"/>
      <c r="P35" s="48"/>
      <c r="Q35" s="47"/>
      <c r="R35" s="39">
        <v>1</v>
      </c>
      <c r="S35" s="39"/>
      <c r="T35" s="48"/>
      <c r="U35" s="47"/>
      <c r="V35" s="39">
        <v>1</v>
      </c>
      <c r="W35" s="39"/>
      <c r="X35" s="52"/>
      <c r="Y35" s="53"/>
      <c r="Z35" s="54">
        <v>2</v>
      </c>
      <c r="AA35" s="54"/>
      <c r="AB35" s="52"/>
      <c r="AC35" s="53"/>
      <c r="AD35" s="54">
        <v>1</v>
      </c>
      <c r="AE35" s="54"/>
      <c r="AF35" s="52"/>
      <c r="AG35" s="53"/>
      <c r="AH35" s="54">
        <v>2</v>
      </c>
      <c r="AI35" s="54"/>
      <c r="AJ35" s="52"/>
      <c r="AK35" s="40">
        <f>SUM(I35:AJ35)</f>
        <v>9</v>
      </c>
      <c r="AL35" t="str">
        <f>C35</f>
        <v>und</v>
      </c>
    </row>
    <row r="36" spans="1:38" ht="15" customHeight="1">
      <c r="A36" s="34" t="s">
        <v>187</v>
      </c>
      <c r="B36" s="35" t="s">
        <v>26</v>
      </c>
      <c r="C36" s="31" t="s">
        <v>11</v>
      </c>
      <c r="D36" s="32">
        <f>AK36</f>
        <v>17</v>
      </c>
      <c r="E36" s="33">
        <f t="shared" si="1"/>
        <v>17</v>
      </c>
      <c r="H36" s="42" t="s">
        <v>113</v>
      </c>
      <c r="I36" s="47"/>
      <c r="J36" s="39">
        <v>1</v>
      </c>
      <c r="K36" s="39"/>
      <c r="L36" s="48"/>
      <c r="M36" s="47"/>
      <c r="N36" s="39">
        <v>2</v>
      </c>
      <c r="O36" s="39"/>
      <c r="P36" s="48"/>
      <c r="Q36" s="47"/>
      <c r="R36" s="39">
        <v>2</v>
      </c>
      <c r="S36" s="39"/>
      <c r="T36" s="48"/>
      <c r="U36" s="47"/>
      <c r="V36" s="39">
        <v>3</v>
      </c>
      <c r="W36" s="39"/>
      <c r="X36" s="52"/>
      <c r="Y36" s="53"/>
      <c r="Z36" s="54">
        <v>3</v>
      </c>
      <c r="AA36" s="54"/>
      <c r="AB36" s="52"/>
      <c r="AC36" s="53"/>
      <c r="AD36" s="54">
        <v>2</v>
      </c>
      <c r="AE36" s="54"/>
      <c r="AF36" s="52"/>
      <c r="AG36" s="53"/>
      <c r="AH36" s="54">
        <v>4</v>
      </c>
      <c r="AI36" s="54"/>
      <c r="AJ36" s="52"/>
      <c r="AK36" s="40">
        <f>SUM(I36:AJ36)</f>
        <v>17</v>
      </c>
      <c r="AL36" t="str">
        <f>C36</f>
        <v>und</v>
      </c>
    </row>
    <row r="37" spans="1:38" ht="15" customHeight="1">
      <c r="A37" s="23" t="s">
        <v>188</v>
      </c>
      <c r="B37" s="24" t="s">
        <v>44</v>
      </c>
      <c r="C37" s="31"/>
      <c r="D37" s="32"/>
      <c r="E37" s="33"/>
    </row>
    <row r="38" spans="1:38" ht="15" customHeight="1">
      <c r="A38" s="34" t="s">
        <v>189</v>
      </c>
      <c r="B38" s="31" t="s">
        <v>157</v>
      </c>
      <c r="C38" s="31" t="s">
        <v>12</v>
      </c>
      <c r="D38" s="32">
        <f>AK38</f>
        <v>228</v>
      </c>
      <c r="E38" s="33">
        <f t="shared" ref="E38" si="10">D38</f>
        <v>228</v>
      </c>
      <c r="H38" s="42" t="s">
        <v>114</v>
      </c>
      <c r="I38" s="47"/>
      <c r="J38" s="39"/>
      <c r="K38" s="39"/>
      <c r="L38" s="48"/>
      <c r="M38" s="47">
        <v>45</v>
      </c>
      <c r="N38" s="39"/>
      <c r="O38" s="39"/>
      <c r="P38" s="48"/>
      <c r="Q38" s="47">
        <v>33</v>
      </c>
      <c r="R38" s="39"/>
      <c r="S38" s="39"/>
      <c r="T38" s="48"/>
      <c r="U38" s="47">
        <v>36</v>
      </c>
      <c r="V38" s="39"/>
      <c r="W38" s="39"/>
      <c r="X38" s="52"/>
      <c r="Y38" s="53">
        <v>45</v>
      </c>
      <c r="Z38" s="54"/>
      <c r="AA38" s="54"/>
      <c r="AB38" s="52"/>
      <c r="AC38" s="53">
        <v>24</v>
      </c>
      <c r="AD38" s="54"/>
      <c r="AE38" s="54"/>
      <c r="AF38" s="52"/>
      <c r="AG38" s="53">
        <v>45</v>
      </c>
      <c r="AH38" s="54"/>
      <c r="AI38" s="54"/>
      <c r="AJ38" s="52"/>
      <c r="AK38" s="40">
        <f>SUM(I38:AJ38)</f>
        <v>228</v>
      </c>
      <c r="AL38" t="str">
        <f>C38</f>
        <v>m</v>
      </c>
    </row>
    <row r="39" spans="1:38" ht="15" customHeight="1">
      <c r="A39" s="23" t="s">
        <v>190</v>
      </c>
      <c r="B39" s="24" t="s">
        <v>45</v>
      </c>
      <c r="C39" s="31"/>
      <c r="D39" s="32"/>
      <c r="E39" s="33"/>
    </row>
    <row r="40" spans="1:38" ht="15" customHeight="1">
      <c r="A40" s="23" t="s">
        <v>191</v>
      </c>
      <c r="B40" s="24" t="s">
        <v>46</v>
      </c>
      <c r="C40" s="31"/>
      <c r="D40" s="32"/>
      <c r="E40" s="33"/>
    </row>
    <row r="41" spans="1:38" ht="15" customHeight="1">
      <c r="A41" s="34" t="s">
        <v>192</v>
      </c>
      <c r="B41" s="31" t="s">
        <v>158</v>
      </c>
      <c r="C41" s="31" t="s">
        <v>12</v>
      </c>
      <c r="D41" s="32">
        <f>AK41</f>
        <v>4030</v>
      </c>
      <c r="E41" s="33">
        <f>D41</f>
        <v>4030</v>
      </c>
      <c r="H41" s="42" t="s">
        <v>115</v>
      </c>
      <c r="I41" s="47"/>
      <c r="J41" s="39">
        <v>387</v>
      </c>
      <c r="K41" s="39"/>
      <c r="L41" s="48"/>
      <c r="M41" s="47"/>
      <c r="N41" s="39">
        <v>461</v>
      </c>
      <c r="O41" s="39"/>
      <c r="P41" s="48"/>
      <c r="Q41" s="47"/>
      <c r="R41" s="39">
        <v>390</v>
      </c>
      <c r="S41" s="39"/>
      <c r="T41" s="48"/>
      <c r="U41" s="47"/>
      <c r="V41" s="39">
        <v>614</v>
      </c>
      <c r="W41" s="39"/>
      <c r="X41" s="52"/>
      <c r="Y41" s="53"/>
      <c r="Z41" s="54">
        <v>894</v>
      </c>
      <c r="AA41" s="54"/>
      <c r="AB41" s="52"/>
      <c r="AC41" s="53"/>
      <c r="AD41" s="54">
        <v>390</v>
      </c>
      <c r="AE41" s="54"/>
      <c r="AF41" s="52"/>
      <c r="AG41" s="53"/>
      <c r="AH41" s="54">
        <v>894</v>
      </c>
      <c r="AI41" s="54"/>
      <c r="AJ41" s="52"/>
      <c r="AK41" s="40">
        <f>SUM(I41:AJ41)</f>
        <v>4030</v>
      </c>
      <c r="AL41" t="str">
        <f>C41</f>
        <v>m</v>
      </c>
    </row>
    <row r="42" spans="1:38" ht="15" customHeight="1">
      <c r="A42" s="23" t="s">
        <v>193</v>
      </c>
      <c r="B42" s="24" t="s">
        <v>47</v>
      </c>
      <c r="C42" s="31"/>
      <c r="D42" s="32"/>
      <c r="E42" s="33"/>
    </row>
    <row r="43" spans="1:38" ht="15" customHeight="1">
      <c r="A43" s="34" t="s">
        <v>194</v>
      </c>
      <c r="B43" s="31" t="s">
        <v>50</v>
      </c>
      <c r="C43" s="31" t="s">
        <v>12</v>
      </c>
      <c r="D43" s="32">
        <f>AK43</f>
        <v>246</v>
      </c>
      <c r="E43" s="33">
        <f t="shared" ref="E43" si="11">D43</f>
        <v>246</v>
      </c>
      <c r="H43" s="42" t="s">
        <v>116</v>
      </c>
      <c r="I43" s="47"/>
      <c r="J43" s="39"/>
      <c r="K43" s="39"/>
      <c r="L43" s="48">
        <v>54</v>
      </c>
      <c r="M43" s="47"/>
      <c r="N43" s="39"/>
      <c r="O43" s="39"/>
      <c r="P43" s="48">
        <v>50</v>
      </c>
      <c r="Q43" s="47"/>
      <c r="R43" s="39"/>
      <c r="S43" s="39"/>
      <c r="T43" s="48">
        <v>36</v>
      </c>
      <c r="U43" s="47"/>
      <c r="V43" s="39"/>
      <c r="W43" s="39"/>
      <c r="X43" s="52">
        <v>27</v>
      </c>
      <c r="Y43" s="53"/>
      <c r="Z43" s="54"/>
      <c r="AA43" s="54"/>
      <c r="AB43" s="52">
        <v>33</v>
      </c>
      <c r="AC43" s="53"/>
      <c r="AD43" s="54"/>
      <c r="AE43" s="54"/>
      <c r="AF43" s="52">
        <v>23</v>
      </c>
      <c r="AG43" s="53"/>
      <c r="AH43" s="54"/>
      <c r="AI43" s="54"/>
      <c r="AJ43" s="52">
        <v>23</v>
      </c>
      <c r="AK43" s="40">
        <f>SUM(I43:AJ43)</f>
        <v>246</v>
      </c>
      <c r="AL43" t="str">
        <f>C43</f>
        <v>m</v>
      </c>
    </row>
    <row r="44" spans="1:38" ht="15" customHeight="1">
      <c r="A44" s="34" t="s">
        <v>195</v>
      </c>
      <c r="B44" s="31" t="s">
        <v>51</v>
      </c>
      <c r="C44" s="31" t="s">
        <v>12</v>
      </c>
      <c r="D44" s="32">
        <f>AK44</f>
        <v>866</v>
      </c>
      <c r="E44" s="33">
        <f t="shared" ref="E44" si="12">D44</f>
        <v>866</v>
      </c>
      <c r="H44" s="42" t="s">
        <v>117</v>
      </c>
      <c r="I44" s="47"/>
      <c r="J44" s="39"/>
      <c r="K44" s="39"/>
      <c r="L44" s="48">
        <v>140</v>
      </c>
      <c r="M44" s="47"/>
      <c r="N44" s="39"/>
      <c r="O44" s="39"/>
      <c r="P44" s="48">
        <v>140</v>
      </c>
      <c r="Q44" s="47"/>
      <c r="R44" s="39"/>
      <c r="S44" s="39"/>
      <c r="T44" s="48">
        <v>115</v>
      </c>
      <c r="U44" s="47"/>
      <c r="V44" s="39"/>
      <c r="W44" s="39"/>
      <c r="X44" s="52">
        <v>134</v>
      </c>
      <c r="Y44" s="53"/>
      <c r="Z44" s="54"/>
      <c r="AA44" s="54"/>
      <c r="AB44" s="52">
        <v>117</v>
      </c>
      <c r="AC44" s="53"/>
      <c r="AD44" s="54"/>
      <c r="AE44" s="54"/>
      <c r="AF44" s="52">
        <v>105</v>
      </c>
      <c r="AG44" s="53"/>
      <c r="AH44" s="54"/>
      <c r="AI44" s="54"/>
      <c r="AJ44" s="52">
        <v>115</v>
      </c>
      <c r="AK44" s="40">
        <f>SUM(I44:AJ44)</f>
        <v>866</v>
      </c>
      <c r="AL44" t="str">
        <f>C44</f>
        <v>m</v>
      </c>
    </row>
    <row r="45" spans="1:38" ht="15" customHeight="1">
      <c r="A45" s="23" t="s">
        <v>196</v>
      </c>
      <c r="B45" s="24" t="s">
        <v>48</v>
      </c>
      <c r="C45" s="31"/>
      <c r="D45" s="32"/>
      <c r="E45" s="33"/>
    </row>
    <row r="46" spans="1:38" ht="15" customHeight="1">
      <c r="A46" s="34" t="s">
        <v>197</v>
      </c>
      <c r="B46" s="31" t="s">
        <v>52</v>
      </c>
      <c r="C46" s="31" t="s">
        <v>11</v>
      </c>
      <c r="D46" s="32">
        <f>AK46</f>
        <v>9</v>
      </c>
      <c r="E46" s="33">
        <f>D46</f>
        <v>9</v>
      </c>
      <c r="H46" s="42" t="s">
        <v>118</v>
      </c>
      <c r="I46" s="47">
        <v>1</v>
      </c>
      <c r="J46" s="39"/>
      <c r="K46" s="39"/>
      <c r="L46" s="48"/>
      <c r="M46" s="47">
        <v>1</v>
      </c>
      <c r="N46" s="39"/>
      <c r="O46" s="39"/>
      <c r="P46" s="48"/>
      <c r="Q46" s="47">
        <v>1</v>
      </c>
      <c r="R46" s="39"/>
      <c r="S46" s="39"/>
      <c r="T46" s="48"/>
      <c r="U46" s="47">
        <v>1</v>
      </c>
      <c r="V46" s="39"/>
      <c r="W46" s="39"/>
      <c r="X46" s="52"/>
      <c r="Y46" s="47">
        <v>2</v>
      </c>
      <c r="Z46" s="54"/>
      <c r="AA46" s="54"/>
      <c r="AB46" s="52"/>
      <c r="AC46" s="47">
        <v>1</v>
      </c>
      <c r="AD46" s="54"/>
      <c r="AE46" s="54"/>
      <c r="AF46" s="52"/>
      <c r="AG46" s="47">
        <v>2</v>
      </c>
      <c r="AH46" s="54"/>
      <c r="AI46" s="54"/>
      <c r="AJ46" s="52"/>
      <c r="AK46" s="40">
        <f>SUM(I46:AJ46)</f>
        <v>9</v>
      </c>
      <c r="AL46" t="str">
        <f>C46</f>
        <v>und</v>
      </c>
    </row>
    <row r="47" spans="1:38" ht="15" customHeight="1">
      <c r="A47" s="23" t="s">
        <v>198</v>
      </c>
      <c r="B47" s="24" t="s">
        <v>49</v>
      </c>
      <c r="C47" s="31"/>
      <c r="D47" s="32"/>
      <c r="E47" s="33"/>
    </row>
    <row r="48" spans="1:38" ht="15" customHeight="1">
      <c r="A48" s="23" t="s">
        <v>199</v>
      </c>
      <c r="B48" s="24" t="s">
        <v>53</v>
      </c>
      <c r="C48" s="31"/>
      <c r="D48" s="32"/>
      <c r="E48" s="33"/>
    </row>
    <row r="49" spans="1:38" ht="15" customHeight="1">
      <c r="A49" s="34" t="s">
        <v>200</v>
      </c>
      <c r="B49" s="31" t="s">
        <v>153</v>
      </c>
      <c r="C49" s="31" t="s">
        <v>11</v>
      </c>
      <c r="D49" s="32">
        <f>AK49</f>
        <v>7</v>
      </c>
      <c r="E49" s="33">
        <f>D49</f>
        <v>7</v>
      </c>
      <c r="H49" s="42" t="s">
        <v>119</v>
      </c>
      <c r="I49" s="47"/>
      <c r="J49" s="39">
        <v>1</v>
      </c>
      <c r="K49" s="39"/>
      <c r="L49" s="48"/>
      <c r="M49" s="47"/>
      <c r="N49" s="39">
        <v>1</v>
      </c>
      <c r="O49" s="39"/>
      <c r="P49" s="48"/>
      <c r="Q49" s="47"/>
      <c r="R49" s="39">
        <v>1</v>
      </c>
      <c r="S49" s="39"/>
      <c r="T49" s="48"/>
      <c r="U49" s="47"/>
      <c r="V49" s="39">
        <v>1</v>
      </c>
      <c r="W49" s="39"/>
      <c r="X49" s="52"/>
      <c r="Y49" s="53"/>
      <c r="Z49" s="54">
        <v>1</v>
      </c>
      <c r="AA49" s="54"/>
      <c r="AB49" s="52"/>
      <c r="AC49" s="53"/>
      <c r="AD49" s="54">
        <v>1</v>
      </c>
      <c r="AE49" s="54"/>
      <c r="AF49" s="52"/>
      <c r="AG49" s="53"/>
      <c r="AH49" s="54">
        <v>1</v>
      </c>
      <c r="AI49" s="54"/>
      <c r="AJ49" s="52"/>
      <c r="AK49" s="40">
        <f>SUM(I49:AJ49)</f>
        <v>7</v>
      </c>
      <c r="AL49" t="str">
        <f>C49</f>
        <v>und</v>
      </c>
    </row>
    <row r="50" spans="1:38" ht="15" customHeight="1">
      <c r="A50" s="23" t="s">
        <v>201</v>
      </c>
      <c r="B50" s="24" t="s">
        <v>54</v>
      </c>
      <c r="C50" s="31"/>
      <c r="D50" s="32"/>
      <c r="E50" s="33"/>
    </row>
    <row r="51" spans="1:38" ht="15" customHeight="1">
      <c r="A51" s="34" t="s">
        <v>202</v>
      </c>
      <c r="B51" s="31" t="s">
        <v>55</v>
      </c>
      <c r="C51" s="31" t="s">
        <v>11</v>
      </c>
      <c r="D51" s="32">
        <f>AK51</f>
        <v>9</v>
      </c>
      <c r="E51" s="33">
        <f>D51</f>
        <v>9</v>
      </c>
      <c r="H51" s="42" t="s">
        <v>120</v>
      </c>
      <c r="I51" s="47"/>
      <c r="J51" s="39">
        <v>1</v>
      </c>
      <c r="K51" s="39"/>
      <c r="L51" s="48"/>
      <c r="M51" s="47"/>
      <c r="N51" s="39">
        <v>1</v>
      </c>
      <c r="O51" s="39"/>
      <c r="P51" s="48"/>
      <c r="Q51" s="47"/>
      <c r="R51" s="39">
        <v>1</v>
      </c>
      <c r="S51" s="39"/>
      <c r="T51" s="48"/>
      <c r="U51" s="47"/>
      <c r="V51" s="39">
        <v>1</v>
      </c>
      <c r="W51" s="39"/>
      <c r="X51" s="52"/>
      <c r="Y51" s="53"/>
      <c r="Z51" s="54">
        <v>2</v>
      </c>
      <c r="AA51" s="54"/>
      <c r="AB51" s="52"/>
      <c r="AC51" s="53"/>
      <c r="AD51" s="54">
        <v>1</v>
      </c>
      <c r="AE51" s="54"/>
      <c r="AF51" s="52"/>
      <c r="AG51" s="53"/>
      <c r="AH51" s="54">
        <v>2</v>
      </c>
      <c r="AI51" s="54"/>
      <c r="AJ51" s="52"/>
      <c r="AK51" s="40">
        <f>SUM(I51:AJ51)</f>
        <v>9</v>
      </c>
      <c r="AL51" t="str">
        <f>C51</f>
        <v>und</v>
      </c>
    </row>
    <row r="52" spans="1:38" ht="15" customHeight="1">
      <c r="A52" s="34" t="s">
        <v>203</v>
      </c>
      <c r="B52" s="31" t="s">
        <v>56</v>
      </c>
      <c r="C52" s="31" t="s">
        <v>11</v>
      </c>
      <c r="D52" s="32">
        <f>AK52</f>
        <v>177</v>
      </c>
      <c r="E52" s="33">
        <f t="shared" ref="E52" si="13">D52</f>
        <v>177</v>
      </c>
      <c r="H52" s="42" t="s">
        <v>121</v>
      </c>
      <c r="I52" s="47"/>
      <c r="J52" s="39">
        <f>J77+J78+J79+J80+J80+J81+J81</f>
        <v>15</v>
      </c>
      <c r="K52" s="39"/>
      <c r="L52" s="48"/>
      <c r="M52" s="47"/>
      <c r="N52" s="39">
        <f>N77+N78+N79+N80+N80+N81+N81</f>
        <v>20</v>
      </c>
      <c r="O52" s="39"/>
      <c r="P52" s="48"/>
      <c r="Q52" s="47"/>
      <c r="R52" s="39">
        <f>R77+R78+R79+R80+R80+R81+R81</f>
        <v>16</v>
      </c>
      <c r="S52" s="39"/>
      <c r="T52" s="48"/>
      <c r="U52" s="47"/>
      <c r="V52" s="39">
        <f>V77+V78+V79+V80+V80+V81+V81</f>
        <v>21</v>
      </c>
      <c r="W52" s="39"/>
      <c r="X52" s="52"/>
      <c r="Y52" s="53"/>
      <c r="Z52" s="39">
        <f>Z77+Z78+Z79+Z80+Z80+Z81+Z81</f>
        <v>45</v>
      </c>
      <c r="AA52" s="54"/>
      <c r="AB52" s="52"/>
      <c r="AC52" s="53"/>
      <c r="AD52" s="39">
        <f>AD77+AD78+AD79+AD80+AD80+AD81+AD81</f>
        <v>18</v>
      </c>
      <c r="AE52" s="54"/>
      <c r="AF52" s="52"/>
      <c r="AG52" s="53"/>
      <c r="AH52" s="39">
        <f>AH77+AH78+AH79+AH80+AH80+AH81+AH81</f>
        <v>42</v>
      </c>
      <c r="AI52" s="54"/>
      <c r="AJ52" s="52"/>
      <c r="AK52" s="40">
        <f>SUM(I52:AJ52)</f>
        <v>177</v>
      </c>
      <c r="AL52" t="str">
        <f>C52</f>
        <v>und</v>
      </c>
    </row>
    <row r="53" spans="1:38" ht="15" customHeight="1">
      <c r="A53" s="34" t="s">
        <v>204</v>
      </c>
      <c r="B53" s="31" t="s">
        <v>81</v>
      </c>
      <c r="C53" s="31" t="s">
        <v>11</v>
      </c>
      <c r="D53" s="32">
        <f>AK53</f>
        <v>123</v>
      </c>
      <c r="E53" s="33">
        <f t="shared" ref="E53" si="14">D53</f>
        <v>123</v>
      </c>
      <c r="H53" s="42" t="s">
        <v>122</v>
      </c>
      <c r="I53" s="47"/>
      <c r="J53" s="39">
        <f>J77+J78+J80+J80+J81+J81</f>
        <v>4</v>
      </c>
      <c r="K53" s="39"/>
      <c r="L53" s="48"/>
      <c r="M53" s="47"/>
      <c r="N53" s="39">
        <f>N77+N78+N80+N80+N81+N81</f>
        <v>13</v>
      </c>
      <c r="O53" s="39"/>
      <c r="P53" s="48"/>
      <c r="Q53" s="47"/>
      <c r="R53" s="39">
        <f>R77+R78+R80+R80+R81+R81</f>
        <v>9</v>
      </c>
      <c r="S53" s="39"/>
      <c r="T53" s="48"/>
      <c r="U53" s="47"/>
      <c r="V53" s="39">
        <f>V77+V78+V80+V80+V81+V81</f>
        <v>15</v>
      </c>
      <c r="W53" s="39"/>
      <c r="X53" s="52"/>
      <c r="Y53" s="53"/>
      <c r="Z53" s="39">
        <f>Z77+Z78+Z80+Z80+Z81+Z81</f>
        <v>37</v>
      </c>
      <c r="AA53" s="54"/>
      <c r="AB53" s="52"/>
      <c r="AC53" s="53"/>
      <c r="AD53" s="39">
        <f>AD77+AD78+AD80+AD80+AD81+AD81</f>
        <v>10</v>
      </c>
      <c r="AE53" s="54"/>
      <c r="AF53" s="52"/>
      <c r="AG53" s="53"/>
      <c r="AH53" s="39">
        <f>AH77+AH78+AH80+AH80+AH81+AH81</f>
        <v>35</v>
      </c>
      <c r="AI53" s="54"/>
      <c r="AJ53" s="52"/>
      <c r="AK53" s="40">
        <f>SUM(I53:AJ53)</f>
        <v>123</v>
      </c>
      <c r="AL53" t="str">
        <f>C53</f>
        <v>und</v>
      </c>
    </row>
    <row r="54" spans="1:38" ht="15" customHeight="1">
      <c r="A54" s="34" t="s">
        <v>205</v>
      </c>
      <c r="B54" s="31" t="s">
        <v>57</v>
      </c>
      <c r="C54" s="31" t="s">
        <v>11</v>
      </c>
      <c r="D54" s="32">
        <f>AK54</f>
        <v>9</v>
      </c>
      <c r="E54" s="33">
        <f t="shared" ref="E54" si="15">D54</f>
        <v>9</v>
      </c>
      <c r="H54" s="42" t="s">
        <v>123</v>
      </c>
      <c r="I54" s="47"/>
      <c r="J54" s="39">
        <v>1</v>
      </c>
      <c r="K54" s="39"/>
      <c r="L54" s="48"/>
      <c r="M54" s="47"/>
      <c r="N54" s="39">
        <v>1</v>
      </c>
      <c r="O54" s="39"/>
      <c r="P54" s="48"/>
      <c r="Q54" s="47"/>
      <c r="R54" s="39">
        <v>1</v>
      </c>
      <c r="S54" s="39"/>
      <c r="T54" s="48"/>
      <c r="U54" s="47"/>
      <c r="V54" s="39">
        <v>1</v>
      </c>
      <c r="W54" s="39"/>
      <c r="X54" s="52"/>
      <c r="Y54" s="53"/>
      <c r="Z54" s="54">
        <v>2</v>
      </c>
      <c r="AA54" s="54"/>
      <c r="AB54" s="52"/>
      <c r="AC54" s="53"/>
      <c r="AD54" s="54">
        <v>1</v>
      </c>
      <c r="AE54" s="54"/>
      <c r="AF54" s="52"/>
      <c r="AG54" s="53"/>
      <c r="AH54" s="54">
        <v>2</v>
      </c>
      <c r="AI54" s="54"/>
      <c r="AJ54" s="52"/>
      <c r="AK54" s="40">
        <f>SUM(I54:AJ54)</f>
        <v>9</v>
      </c>
      <c r="AL54" t="str">
        <f>C54</f>
        <v>und</v>
      </c>
    </row>
    <row r="55" spans="1:38" ht="15" customHeight="1">
      <c r="A55" s="23" t="s">
        <v>206</v>
      </c>
      <c r="B55" s="24" t="s">
        <v>58</v>
      </c>
      <c r="C55" s="31"/>
      <c r="D55" s="32"/>
      <c r="E55" s="33"/>
    </row>
    <row r="56" spans="1:38" ht="15" customHeight="1">
      <c r="A56" s="34" t="s">
        <v>207</v>
      </c>
      <c r="B56" s="31" t="s">
        <v>59</v>
      </c>
      <c r="C56" s="31" t="s">
        <v>11</v>
      </c>
      <c r="D56" s="32">
        <f>AK56</f>
        <v>1</v>
      </c>
      <c r="E56" s="33">
        <f t="shared" ref="E56:E57" si="16">D56</f>
        <v>1</v>
      </c>
      <c r="H56" s="42" t="s">
        <v>124</v>
      </c>
      <c r="I56" s="47"/>
      <c r="J56" s="39"/>
      <c r="K56" s="39"/>
      <c r="L56" s="48"/>
      <c r="M56" s="47"/>
      <c r="N56" s="39">
        <v>1</v>
      </c>
      <c r="O56" s="39"/>
      <c r="P56" s="48"/>
      <c r="Q56" s="47"/>
      <c r="R56" s="39"/>
      <c r="S56" s="39"/>
      <c r="T56" s="48"/>
      <c r="U56" s="47"/>
      <c r="V56" s="39"/>
      <c r="W56" s="39"/>
      <c r="X56" s="52"/>
      <c r="Y56" s="53"/>
      <c r="Z56" s="54"/>
      <c r="AA56" s="54"/>
      <c r="AB56" s="52"/>
      <c r="AC56" s="53"/>
      <c r="AD56" s="54"/>
      <c r="AE56" s="54"/>
      <c r="AF56" s="52"/>
      <c r="AG56" s="53"/>
      <c r="AH56" s="54"/>
      <c r="AI56" s="54"/>
      <c r="AJ56" s="52"/>
      <c r="AK56" s="40">
        <f>SUM(I56:AJ56)</f>
        <v>1</v>
      </c>
      <c r="AL56" t="str">
        <f>C56</f>
        <v>und</v>
      </c>
    </row>
    <row r="57" spans="1:38" ht="15" customHeight="1">
      <c r="A57" s="34" t="s">
        <v>208</v>
      </c>
      <c r="B57" s="31" t="s">
        <v>60</v>
      </c>
      <c r="C57" s="31" t="s">
        <v>11</v>
      </c>
      <c r="D57" s="32">
        <f>AK57</f>
        <v>7</v>
      </c>
      <c r="E57" s="33">
        <f t="shared" si="16"/>
        <v>7</v>
      </c>
      <c r="H57" s="42" t="s">
        <v>125</v>
      </c>
      <c r="I57" s="47"/>
      <c r="J57" s="39">
        <v>1</v>
      </c>
      <c r="K57" s="39"/>
      <c r="L57" s="48"/>
      <c r="M57" s="47"/>
      <c r="N57" s="39">
        <v>1</v>
      </c>
      <c r="O57" s="39"/>
      <c r="P57" s="48"/>
      <c r="Q57" s="47"/>
      <c r="R57" s="39">
        <v>1</v>
      </c>
      <c r="S57" s="39"/>
      <c r="T57" s="48"/>
      <c r="U57" s="47"/>
      <c r="V57" s="39">
        <v>1</v>
      </c>
      <c r="W57" s="39"/>
      <c r="X57" s="52"/>
      <c r="Y57" s="53"/>
      <c r="Z57" s="54">
        <v>1</v>
      </c>
      <c r="AA57" s="54"/>
      <c r="AB57" s="52"/>
      <c r="AC57" s="53"/>
      <c r="AD57" s="54">
        <v>1</v>
      </c>
      <c r="AE57" s="54"/>
      <c r="AF57" s="52"/>
      <c r="AG57" s="53"/>
      <c r="AH57" s="54">
        <v>1</v>
      </c>
      <c r="AI57" s="54"/>
      <c r="AJ57" s="52"/>
      <c r="AK57" s="40">
        <f>SUM(I57:AJ57)</f>
        <v>7</v>
      </c>
      <c r="AL57" t="str">
        <f>C57</f>
        <v>und</v>
      </c>
    </row>
    <row r="58" spans="1:38" ht="15" customHeight="1">
      <c r="A58" s="34" t="s">
        <v>209</v>
      </c>
      <c r="B58" s="31" t="s">
        <v>61</v>
      </c>
      <c r="C58" s="31" t="s">
        <v>12</v>
      </c>
      <c r="D58" s="32">
        <f>AK58</f>
        <v>24</v>
      </c>
      <c r="E58" s="33">
        <f t="shared" ref="E58" si="17">D58</f>
        <v>24</v>
      </c>
      <c r="H58" s="42" t="s">
        <v>126</v>
      </c>
      <c r="I58" s="47"/>
      <c r="J58" s="39">
        <v>3</v>
      </c>
      <c r="K58" s="39"/>
      <c r="L58" s="48"/>
      <c r="M58" s="47"/>
      <c r="N58" s="39">
        <v>6</v>
      </c>
      <c r="O58" s="39"/>
      <c r="P58" s="48"/>
      <c r="Q58" s="47"/>
      <c r="R58" s="39">
        <v>3</v>
      </c>
      <c r="S58" s="39"/>
      <c r="T58" s="48"/>
      <c r="U58" s="47"/>
      <c r="V58" s="39">
        <v>3</v>
      </c>
      <c r="W58" s="39"/>
      <c r="X58" s="52"/>
      <c r="Y58" s="53"/>
      <c r="Z58" s="54">
        <v>3</v>
      </c>
      <c r="AA58" s="54"/>
      <c r="AB58" s="52"/>
      <c r="AC58" s="53"/>
      <c r="AD58" s="54">
        <v>3</v>
      </c>
      <c r="AE58" s="54"/>
      <c r="AF58" s="52"/>
      <c r="AG58" s="53"/>
      <c r="AH58" s="54">
        <v>3</v>
      </c>
      <c r="AI58" s="54"/>
      <c r="AJ58" s="52"/>
      <c r="AK58" s="40">
        <f>SUM(I58:AJ58)</f>
        <v>24</v>
      </c>
      <c r="AL58" t="str">
        <f>C58</f>
        <v>m</v>
      </c>
    </row>
    <row r="59" spans="1:38" ht="15" customHeight="1">
      <c r="A59" s="34" t="s">
        <v>210</v>
      </c>
      <c r="B59" s="31" t="s">
        <v>62</v>
      </c>
      <c r="C59" s="31" t="s">
        <v>15</v>
      </c>
      <c r="D59" s="32">
        <v>1</v>
      </c>
      <c r="E59" s="33">
        <f t="shared" ref="E59" si="18">D59</f>
        <v>1</v>
      </c>
    </row>
    <row r="60" spans="1:38" ht="15" customHeight="1">
      <c r="A60" s="23" t="s">
        <v>211</v>
      </c>
      <c r="B60" s="24" t="s">
        <v>63</v>
      </c>
      <c r="C60" s="31"/>
      <c r="D60" s="32"/>
      <c r="E60" s="33"/>
    </row>
    <row r="61" spans="1:38" ht="15" customHeight="1">
      <c r="A61" s="34" t="s">
        <v>212</v>
      </c>
      <c r="B61" s="31" t="s">
        <v>64</v>
      </c>
      <c r="C61" s="31" t="s">
        <v>11</v>
      </c>
      <c r="D61" s="32">
        <f>AK61</f>
        <v>177</v>
      </c>
      <c r="E61" s="33">
        <f t="shared" ref="E61" si="19">D61</f>
        <v>177</v>
      </c>
      <c r="H61" s="42" t="s">
        <v>127</v>
      </c>
      <c r="I61" s="47"/>
      <c r="J61" s="39">
        <f>J77+J78+J79+J80+J80+J81+J81</f>
        <v>15</v>
      </c>
      <c r="K61" s="39"/>
      <c r="L61" s="48"/>
      <c r="M61" s="47"/>
      <c r="N61" s="39">
        <f>N77+N78+N79+N80+N80+N81+N81</f>
        <v>20</v>
      </c>
      <c r="O61" s="39"/>
      <c r="P61" s="48"/>
      <c r="Q61" s="47"/>
      <c r="R61" s="39">
        <f>R77+R78+R79+R80+R80+R81+R81</f>
        <v>16</v>
      </c>
      <c r="S61" s="39"/>
      <c r="T61" s="48"/>
      <c r="U61" s="47"/>
      <c r="V61" s="39">
        <f>V77+V78+V79+V80+V80+V81+V81</f>
        <v>21</v>
      </c>
      <c r="W61" s="39"/>
      <c r="X61" s="52"/>
      <c r="Y61" s="53"/>
      <c r="Z61" s="39">
        <f>Z77+Z78+Z79+Z80+Z80+Z81+Z81</f>
        <v>45</v>
      </c>
      <c r="AA61" s="54"/>
      <c r="AB61" s="52"/>
      <c r="AC61" s="53"/>
      <c r="AD61" s="39">
        <f>AD77+AD78+AD79+AD80+AD80+AD81+AD81</f>
        <v>18</v>
      </c>
      <c r="AE61" s="54"/>
      <c r="AF61" s="52"/>
      <c r="AG61" s="53"/>
      <c r="AH61" s="39">
        <f>AH77+AH78+AH79+AH80+AH80+AH81+AH81</f>
        <v>42</v>
      </c>
      <c r="AI61" s="54"/>
      <c r="AJ61" s="52"/>
      <c r="AK61" s="40">
        <f>SUM(I61:AJ61)</f>
        <v>177</v>
      </c>
      <c r="AL61" t="str">
        <f>C61</f>
        <v>und</v>
      </c>
    </row>
    <row r="62" spans="1:38" ht="15" customHeight="1">
      <c r="A62" s="23" t="s">
        <v>213</v>
      </c>
      <c r="B62" s="24" t="s">
        <v>16</v>
      </c>
      <c r="C62" s="31"/>
      <c r="D62" s="32"/>
      <c r="E62" s="33"/>
    </row>
    <row r="63" spans="1:38" ht="15" customHeight="1">
      <c r="A63" s="21" t="s">
        <v>214</v>
      </c>
      <c r="B63" s="22" t="s">
        <v>65</v>
      </c>
      <c r="C63" s="31"/>
      <c r="D63" s="32"/>
      <c r="E63" s="33"/>
    </row>
    <row r="64" spans="1:38" ht="15" customHeight="1">
      <c r="A64" s="34" t="s">
        <v>215</v>
      </c>
      <c r="B64" s="31" t="s">
        <v>17</v>
      </c>
      <c r="C64" s="31" t="s">
        <v>12</v>
      </c>
      <c r="D64" s="32">
        <f>AK64</f>
        <v>159</v>
      </c>
      <c r="E64" s="33">
        <f t="shared" ref="E64:E68" si="20">D64</f>
        <v>159</v>
      </c>
      <c r="H64" s="42" t="s">
        <v>99</v>
      </c>
      <c r="I64" s="47"/>
      <c r="J64" s="39">
        <f>J79+J82+J83+J84</f>
        <v>21</v>
      </c>
      <c r="K64" s="39"/>
      <c r="L64" s="48"/>
      <c r="M64" s="47"/>
      <c r="N64" s="39">
        <f>N79+N82+N83+N84</f>
        <v>21</v>
      </c>
      <c r="O64" s="39"/>
      <c r="P64" s="48"/>
      <c r="Q64" s="47"/>
      <c r="R64" s="39">
        <f>R79+R82+R83+R84</f>
        <v>23</v>
      </c>
      <c r="S64" s="39"/>
      <c r="T64" s="48"/>
      <c r="U64" s="47"/>
      <c r="V64" s="39">
        <f>V79+V82+V83+V84</f>
        <v>23</v>
      </c>
      <c r="W64" s="39"/>
      <c r="X64" s="52"/>
      <c r="Y64" s="53"/>
      <c r="Z64" s="39">
        <f>Z79+Z82+Z83+Z84</f>
        <v>25</v>
      </c>
      <c r="AA64" s="54"/>
      <c r="AB64" s="52"/>
      <c r="AC64" s="53"/>
      <c r="AD64" s="39">
        <f>AD79+AD82+AD83+AD84</f>
        <v>23</v>
      </c>
      <c r="AE64" s="54"/>
      <c r="AF64" s="52"/>
      <c r="AG64" s="53"/>
      <c r="AH64" s="39">
        <f>AH79+AH82+AH83+AH84</f>
        <v>23</v>
      </c>
      <c r="AI64" s="54"/>
      <c r="AJ64" s="52"/>
      <c r="AK64" s="40">
        <f>SUM(I64:AJ64)</f>
        <v>159</v>
      </c>
      <c r="AL64" t="str">
        <f>C64</f>
        <v>m</v>
      </c>
    </row>
    <row r="65" spans="1:38" ht="15" customHeight="1">
      <c r="A65" s="34" t="s">
        <v>216</v>
      </c>
      <c r="B65" s="31" t="s">
        <v>66</v>
      </c>
      <c r="C65" s="31" t="s">
        <v>12</v>
      </c>
      <c r="D65" s="32">
        <f>AK65</f>
        <v>239</v>
      </c>
      <c r="E65" s="33">
        <f t="shared" ref="E65:E66" si="21">D65</f>
        <v>239</v>
      </c>
      <c r="H65" s="42" t="s">
        <v>97</v>
      </c>
      <c r="I65" s="47"/>
      <c r="J65" s="39">
        <v>6</v>
      </c>
      <c r="K65" s="39"/>
      <c r="L65" s="48"/>
      <c r="M65" s="47"/>
      <c r="N65" s="39">
        <v>39</v>
      </c>
      <c r="O65" s="39"/>
      <c r="P65" s="48"/>
      <c r="Q65" s="47"/>
      <c r="R65" s="39">
        <v>33</v>
      </c>
      <c r="S65" s="39"/>
      <c r="T65" s="48"/>
      <c r="U65" s="47"/>
      <c r="V65" s="39">
        <v>45</v>
      </c>
      <c r="W65" s="39"/>
      <c r="X65" s="52"/>
      <c r="Y65" s="53"/>
      <c r="Z65" s="54">
        <v>49</v>
      </c>
      <c r="AA65" s="54"/>
      <c r="AB65" s="52"/>
      <c r="AC65" s="53"/>
      <c r="AD65" s="54">
        <v>36</v>
      </c>
      <c r="AE65" s="54"/>
      <c r="AF65" s="52"/>
      <c r="AG65" s="53"/>
      <c r="AH65" s="54">
        <v>31</v>
      </c>
      <c r="AI65" s="54"/>
      <c r="AJ65" s="52"/>
      <c r="AK65" s="40">
        <f>SUM(I65:AJ65)</f>
        <v>239</v>
      </c>
      <c r="AL65" t="str">
        <f>C65</f>
        <v>m</v>
      </c>
    </row>
    <row r="66" spans="1:38" ht="15" customHeight="1">
      <c r="A66" s="34" t="s">
        <v>217</v>
      </c>
      <c r="B66" s="31" t="s">
        <v>67</v>
      </c>
      <c r="C66" s="31" t="s">
        <v>12</v>
      </c>
      <c r="D66" s="32">
        <f>AK66</f>
        <v>42</v>
      </c>
      <c r="E66" s="33">
        <f t="shared" si="21"/>
        <v>42</v>
      </c>
      <c r="H66" s="42" t="s">
        <v>98</v>
      </c>
      <c r="I66" s="47">
        <v>6</v>
      </c>
      <c r="J66" s="39"/>
      <c r="K66" s="39"/>
      <c r="L66" s="48"/>
      <c r="M66" s="47">
        <v>6</v>
      </c>
      <c r="N66" s="39"/>
      <c r="O66" s="39"/>
      <c r="P66" s="48"/>
      <c r="Q66" s="47">
        <v>6</v>
      </c>
      <c r="R66" s="39"/>
      <c r="S66" s="39"/>
      <c r="T66" s="48"/>
      <c r="U66" s="47">
        <v>6</v>
      </c>
      <c r="V66" s="39"/>
      <c r="W66" s="39"/>
      <c r="X66" s="52"/>
      <c r="Y66" s="53">
        <v>6</v>
      </c>
      <c r="Z66" s="54"/>
      <c r="AA66" s="54"/>
      <c r="AB66" s="52"/>
      <c r="AC66" s="53">
        <v>6</v>
      </c>
      <c r="AD66" s="54"/>
      <c r="AE66" s="54"/>
      <c r="AF66" s="52"/>
      <c r="AG66" s="53">
        <v>6</v>
      </c>
      <c r="AH66" s="54"/>
      <c r="AI66" s="54"/>
      <c r="AJ66" s="52"/>
      <c r="AK66" s="40">
        <f>SUM(I66:AJ66)</f>
        <v>42</v>
      </c>
      <c r="AL66" t="str">
        <f>C66</f>
        <v>m</v>
      </c>
    </row>
    <row r="67" spans="1:38" ht="15" customHeight="1">
      <c r="A67" s="34" t="s">
        <v>218</v>
      </c>
      <c r="B67" s="31" t="s">
        <v>18</v>
      </c>
      <c r="C67" s="31" t="s">
        <v>12</v>
      </c>
      <c r="D67" s="32">
        <f>AK67</f>
        <v>1438</v>
      </c>
      <c r="E67" s="33">
        <f t="shared" si="20"/>
        <v>1438</v>
      </c>
      <c r="H67" s="42" t="s">
        <v>95</v>
      </c>
      <c r="I67" s="47"/>
      <c r="J67" s="39">
        <v>85</v>
      </c>
      <c r="K67" s="39"/>
      <c r="L67" s="48">
        <v>120</v>
      </c>
      <c r="M67" s="47"/>
      <c r="N67" s="39">
        <v>60</v>
      </c>
      <c r="O67" s="39"/>
      <c r="P67" s="48">
        <v>150</v>
      </c>
      <c r="Q67" s="47"/>
      <c r="R67" s="39">
        <v>66</v>
      </c>
      <c r="S67" s="39"/>
      <c r="T67" s="48">
        <v>120</v>
      </c>
      <c r="U67" s="47"/>
      <c r="V67" s="39">
        <v>85</v>
      </c>
      <c r="W67" s="39"/>
      <c r="X67" s="52">
        <v>146</v>
      </c>
      <c r="Y67" s="53"/>
      <c r="Z67" s="54">
        <v>92</v>
      </c>
      <c r="AA67" s="54"/>
      <c r="AB67" s="52">
        <v>125</v>
      </c>
      <c r="AC67" s="53"/>
      <c r="AD67" s="54">
        <v>83</v>
      </c>
      <c r="AE67" s="54"/>
      <c r="AF67" s="52">
        <v>115</v>
      </c>
      <c r="AG67" s="53"/>
      <c r="AH67" s="54">
        <v>70</v>
      </c>
      <c r="AI67" s="54"/>
      <c r="AJ67" s="52">
        <v>121</v>
      </c>
      <c r="AK67" s="40">
        <f>SUM(I67:AJ67)</f>
        <v>1438</v>
      </c>
      <c r="AL67" t="str">
        <f>C67</f>
        <v>m</v>
      </c>
    </row>
    <row r="68" spans="1:38" ht="15" customHeight="1">
      <c r="A68" s="34" t="s">
        <v>219</v>
      </c>
      <c r="B68" s="31" t="s">
        <v>19</v>
      </c>
      <c r="C68" s="31" t="s">
        <v>12</v>
      </c>
      <c r="D68" s="32">
        <f>AK68</f>
        <v>27</v>
      </c>
      <c r="E68" s="33">
        <f t="shared" si="20"/>
        <v>27</v>
      </c>
      <c r="H68" s="42" t="s">
        <v>96</v>
      </c>
      <c r="I68" s="47">
        <v>6</v>
      </c>
      <c r="J68" s="39">
        <v>21</v>
      </c>
      <c r="K68" s="39"/>
      <c r="L68" s="48"/>
      <c r="M68" s="47"/>
      <c r="N68" s="39"/>
      <c r="O68" s="39"/>
      <c r="P68" s="48"/>
      <c r="Q68" s="47"/>
      <c r="R68" s="39"/>
      <c r="S68" s="39"/>
      <c r="T68" s="48"/>
      <c r="U68" s="47"/>
      <c r="V68" s="39"/>
      <c r="W68" s="39"/>
      <c r="X68" s="52"/>
      <c r="Y68" s="53"/>
      <c r="Z68" s="54"/>
      <c r="AA68" s="54"/>
      <c r="AB68" s="52"/>
      <c r="AC68" s="53"/>
      <c r="AD68" s="54"/>
      <c r="AE68" s="54"/>
      <c r="AF68" s="52"/>
      <c r="AG68" s="53"/>
      <c r="AH68" s="54"/>
      <c r="AI68" s="54"/>
      <c r="AJ68" s="52"/>
      <c r="AK68" s="40">
        <f>SUM(I68:AJ68)</f>
        <v>27</v>
      </c>
      <c r="AL68" t="str">
        <f>C68</f>
        <v>m</v>
      </c>
    </row>
    <row r="69" spans="1:38" ht="15" customHeight="1">
      <c r="A69" s="21" t="s">
        <v>220</v>
      </c>
      <c r="B69" s="22" t="s">
        <v>68</v>
      </c>
      <c r="C69" s="31"/>
      <c r="D69" s="32"/>
      <c r="E69" s="33"/>
    </row>
    <row r="70" spans="1:38" ht="15" customHeight="1">
      <c r="A70" s="34" t="s">
        <v>221</v>
      </c>
      <c r="B70" s="31" t="s">
        <v>69</v>
      </c>
      <c r="C70" s="31" t="s">
        <v>11</v>
      </c>
      <c r="D70" s="32">
        <f>AK70</f>
        <v>7</v>
      </c>
      <c r="E70" s="33">
        <f t="shared" ref="E70" si="22">D70</f>
        <v>7</v>
      </c>
      <c r="H70" s="42" t="s">
        <v>128</v>
      </c>
      <c r="I70" s="47"/>
      <c r="J70" s="39"/>
      <c r="K70" s="39"/>
      <c r="L70" s="48"/>
      <c r="M70" s="47"/>
      <c r="N70" s="39"/>
      <c r="O70" s="39"/>
      <c r="P70" s="48"/>
      <c r="Q70" s="47"/>
      <c r="R70" s="39"/>
      <c r="S70" s="39"/>
      <c r="T70" s="48"/>
      <c r="U70" s="47"/>
      <c r="V70" s="39"/>
      <c r="W70" s="39"/>
      <c r="X70" s="52"/>
      <c r="Y70" s="53"/>
      <c r="Z70" s="54">
        <v>3</v>
      </c>
      <c r="AA70" s="54"/>
      <c r="AB70" s="52"/>
      <c r="AC70" s="53"/>
      <c r="AD70" s="54"/>
      <c r="AE70" s="54"/>
      <c r="AF70" s="52"/>
      <c r="AG70" s="53"/>
      <c r="AH70" s="54">
        <v>4</v>
      </c>
      <c r="AI70" s="54"/>
      <c r="AJ70" s="52"/>
      <c r="AK70" s="40">
        <f>SUM(I70:AJ70)</f>
        <v>7</v>
      </c>
      <c r="AL70" t="str">
        <f>C70</f>
        <v>und</v>
      </c>
    </row>
    <row r="71" spans="1:38" ht="15" customHeight="1">
      <c r="A71" s="23" t="s">
        <v>222</v>
      </c>
      <c r="B71" s="24" t="s">
        <v>20</v>
      </c>
      <c r="C71" s="31"/>
      <c r="D71" s="32"/>
      <c r="E71" s="33"/>
    </row>
    <row r="72" spans="1:38" ht="15" customHeight="1">
      <c r="A72" s="34" t="s">
        <v>223</v>
      </c>
      <c r="B72" s="31" t="s">
        <v>144</v>
      </c>
      <c r="C72" s="31" t="s">
        <v>11</v>
      </c>
      <c r="D72" s="32">
        <f>AK72</f>
        <v>106</v>
      </c>
      <c r="E72" s="33">
        <f>D72</f>
        <v>106</v>
      </c>
      <c r="H72" s="42" t="s">
        <v>145</v>
      </c>
      <c r="I72" s="47"/>
      <c r="J72" s="39"/>
      <c r="K72" s="39"/>
      <c r="L72" s="48">
        <v>13</v>
      </c>
      <c r="M72" s="47"/>
      <c r="N72" s="39"/>
      <c r="O72" s="39"/>
      <c r="P72" s="48">
        <v>5</v>
      </c>
      <c r="Q72" s="47"/>
      <c r="R72" s="39"/>
      <c r="S72" s="39"/>
      <c r="T72" s="48">
        <v>12</v>
      </c>
      <c r="U72" s="47"/>
      <c r="V72" s="39"/>
      <c r="W72" s="39"/>
      <c r="X72" s="52">
        <v>22</v>
      </c>
      <c r="Y72" s="53"/>
      <c r="Z72" s="54"/>
      <c r="AA72" s="54"/>
      <c r="AB72" s="52">
        <v>18</v>
      </c>
      <c r="AC72" s="53"/>
      <c r="AD72" s="54"/>
      <c r="AE72" s="54"/>
      <c r="AF72" s="52">
        <v>18</v>
      </c>
      <c r="AG72" s="53"/>
      <c r="AH72" s="54"/>
      <c r="AI72" s="54"/>
      <c r="AJ72" s="52">
        <v>18</v>
      </c>
      <c r="AK72" s="40">
        <f>SUM(I72:AJ72)</f>
        <v>106</v>
      </c>
      <c r="AL72" t="str">
        <f>C72</f>
        <v>und</v>
      </c>
    </row>
    <row r="73" spans="1:38" ht="15" customHeight="1">
      <c r="A73" s="34" t="s">
        <v>224</v>
      </c>
      <c r="B73" s="31" t="s">
        <v>70</v>
      </c>
      <c r="C73" s="31" t="s">
        <v>11</v>
      </c>
      <c r="D73" s="32">
        <f>AK73</f>
        <v>108</v>
      </c>
      <c r="E73" s="33">
        <f>D73</f>
        <v>108</v>
      </c>
      <c r="H73" s="42" t="s">
        <v>146</v>
      </c>
      <c r="I73" s="47"/>
      <c r="J73" s="39">
        <v>18</v>
      </c>
      <c r="K73" s="39"/>
      <c r="L73" s="48"/>
      <c r="M73" s="47"/>
      <c r="N73" s="39">
        <v>13</v>
      </c>
      <c r="O73" s="39"/>
      <c r="P73" s="48"/>
      <c r="Q73" s="47"/>
      <c r="R73" s="39">
        <v>14</v>
      </c>
      <c r="S73" s="39"/>
      <c r="T73" s="48"/>
      <c r="U73" s="47"/>
      <c r="V73" s="39">
        <v>23</v>
      </c>
      <c r="W73" s="39"/>
      <c r="X73" s="52"/>
      <c r="Y73" s="53"/>
      <c r="Z73" s="54">
        <v>20</v>
      </c>
      <c r="AA73" s="54"/>
      <c r="AB73" s="52"/>
      <c r="AC73" s="53"/>
      <c r="AD73" s="54">
        <v>9</v>
      </c>
      <c r="AE73" s="54"/>
      <c r="AF73" s="52"/>
      <c r="AG73" s="53"/>
      <c r="AH73" s="54">
        <v>11</v>
      </c>
      <c r="AI73" s="54"/>
      <c r="AJ73" s="52"/>
      <c r="AK73" s="40">
        <f>SUM(I73:AJ73)</f>
        <v>108</v>
      </c>
      <c r="AL73" t="str">
        <f>C72</f>
        <v>und</v>
      </c>
    </row>
    <row r="74" spans="1:38" ht="15" customHeight="1">
      <c r="A74" s="34" t="s">
        <v>225</v>
      </c>
      <c r="B74" s="31" t="s">
        <v>143</v>
      </c>
      <c r="C74" s="31" t="s">
        <v>11</v>
      </c>
      <c r="D74" s="32">
        <f>AK74</f>
        <v>10</v>
      </c>
      <c r="E74" s="33">
        <f>D74</f>
        <v>10</v>
      </c>
      <c r="H74" s="42" t="s">
        <v>147</v>
      </c>
      <c r="I74" s="47">
        <v>3</v>
      </c>
      <c r="J74" s="39"/>
      <c r="K74" s="39"/>
      <c r="L74" s="48"/>
      <c r="M74" s="47">
        <v>2</v>
      </c>
      <c r="N74" s="39"/>
      <c r="O74" s="39"/>
      <c r="P74" s="48"/>
      <c r="Q74" s="47">
        <v>1</v>
      </c>
      <c r="R74" s="39"/>
      <c r="S74" s="39"/>
      <c r="T74" s="48"/>
      <c r="U74" s="47">
        <v>1</v>
      </c>
      <c r="V74" s="39"/>
      <c r="W74" s="39"/>
      <c r="X74" s="52"/>
      <c r="Y74" s="53">
        <v>1</v>
      </c>
      <c r="Z74" s="54"/>
      <c r="AA74" s="54"/>
      <c r="AB74" s="52"/>
      <c r="AC74" s="53">
        <v>1</v>
      </c>
      <c r="AD74" s="54"/>
      <c r="AE74" s="54"/>
      <c r="AF74" s="52"/>
      <c r="AG74" s="53">
        <v>1</v>
      </c>
      <c r="AH74" s="54"/>
      <c r="AI74" s="54"/>
      <c r="AJ74" s="52"/>
      <c r="AK74" s="40">
        <f>SUM(I74:AJ74)</f>
        <v>10</v>
      </c>
      <c r="AL74" t="str">
        <f>C74</f>
        <v>und</v>
      </c>
    </row>
    <row r="75" spans="1:38" ht="15" customHeight="1">
      <c r="A75" s="34" t="s">
        <v>226</v>
      </c>
      <c r="B75" s="31" t="s">
        <v>71</v>
      </c>
      <c r="C75" s="31" t="s">
        <v>11</v>
      </c>
      <c r="D75" s="32">
        <f>AK75</f>
        <v>60</v>
      </c>
      <c r="E75" s="33">
        <f>D75</f>
        <v>60</v>
      </c>
      <c r="H75" s="42" t="s">
        <v>129</v>
      </c>
      <c r="I75" s="47"/>
      <c r="J75" s="39"/>
      <c r="K75" s="39"/>
      <c r="L75" s="48"/>
      <c r="M75" s="47"/>
      <c r="N75" s="39">
        <v>14</v>
      </c>
      <c r="O75" s="39"/>
      <c r="P75" s="48"/>
      <c r="Q75" s="47"/>
      <c r="R75" s="39">
        <v>10</v>
      </c>
      <c r="S75" s="39"/>
      <c r="T75" s="48"/>
      <c r="U75" s="47"/>
      <c r="V75" s="39">
        <v>9</v>
      </c>
      <c r="W75" s="39"/>
      <c r="X75" s="52"/>
      <c r="Y75" s="53"/>
      <c r="Z75" s="54">
        <v>11</v>
      </c>
      <c r="AA75" s="54"/>
      <c r="AB75" s="52"/>
      <c r="AC75" s="53"/>
      <c r="AD75" s="54">
        <v>8</v>
      </c>
      <c r="AE75" s="54"/>
      <c r="AF75" s="52"/>
      <c r="AG75" s="53"/>
      <c r="AH75" s="54">
        <v>8</v>
      </c>
      <c r="AI75" s="54"/>
      <c r="AJ75" s="52"/>
      <c r="AK75" s="40">
        <f>SUM(I75:AJ75)</f>
        <v>60</v>
      </c>
      <c r="AL75" t="str">
        <f>C75</f>
        <v>und</v>
      </c>
    </row>
    <row r="76" spans="1:38" ht="15" customHeight="1">
      <c r="A76" s="23" t="s">
        <v>227</v>
      </c>
      <c r="B76" s="24" t="s">
        <v>21</v>
      </c>
      <c r="C76" s="31"/>
      <c r="D76" s="32"/>
      <c r="E76" s="33"/>
    </row>
    <row r="77" spans="1:38" ht="15" customHeight="1">
      <c r="A77" s="34" t="s">
        <v>228</v>
      </c>
      <c r="B77" s="31" t="s">
        <v>72</v>
      </c>
      <c r="C77" s="31" t="s">
        <v>22</v>
      </c>
      <c r="D77" s="32">
        <f t="shared" ref="D77:D89" si="23">AK77</f>
        <v>57</v>
      </c>
      <c r="E77" s="33">
        <f t="shared" ref="E77:E78" si="24">D77</f>
        <v>57</v>
      </c>
      <c r="H77" s="42" t="s">
        <v>130</v>
      </c>
      <c r="I77" s="47"/>
      <c r="J77" s="39"/>
      <c r="K77" s="39"/>
      <c r="L77" s="48"/>
      <c r="M77" s="47"/>
      <c r="N77" s="39">
        <v>5</v>
      </c>
      <c r="O77" s="39"/>
      <c r="P77" s="48"/>
      <c r="Q77" s="47"/>
      <c r="R77" s="39">
        <v>7</v>
      </c>
      <c r="S77" s="39"/>
      <c r="T77" s="48"/>
      <c r="U77" s="47"/>
      <c r="V77" s="39">
        <v>15</v>
      </c>
      <c r="W77" s="39"/>
      <c r="X77" s="52"/>
      <c r="Y77" s="53"/>
      <c r="Z77" s="54">
        <v>13</v>
      </c>
      <c r="AA77" s="54"/>
      <c r="AB77" s="52"/>
      <c r="AC77" s="53"/>
      <c r="AD77" s="54">
        <v>10</v>
      </c>
      <c r="AE77" s="54"/>
      <c r="AF77" s="52"/>
      <c r="AG77" s="53"/>
      <c r="AH77" s="54">
        <v>7</v>
      </c>
      <c r="AI77" s="54"/>
      <c r="AJ77" s="52"/>
      <c r="AK77" s="40">
        <f t="shared" ref="AK77:AK89" si="25">SUM(I77:AJ77)</f>
        <v>57</v>
      </c>
      <c r="AL77" t="str">
        <f t="shared" ref="AL77:AL89" si="26">C77</f>
        <v>pto</v>
      </c>
    </row>
    <row r="78" spans="1:38" ht="15" customHeight="1">
      <c r="A78" s="34" t="s">
        <v>229</v>
      </c>
      <c r="B78" s="31" t="s">
        <v>73</v>
      </c>
      <c r="C78" s="31" t="s">
        <v>22</v>
      </c>
      <c r="D78" s="32">
        <f t="shared" si="23"/>
        <v>48</v>
      </c>
      <c r="E78" s="33">
        <f t="shared" si="24"/>
        <v>48</v>
      </c>
      <c r="H78" s="42" t="s">
        <v>152</v>
      </c>
      <c r="I78" s="47"/>
      <c r="J78" s="39"/>
      <c r="K78" s="39"/>
      <c r="L78" s="48"/>
      <c r="M78" s="47"/>
      <c r="N78" s="39"/>
      <c r="O78" s="39"/>
      <c r="P78" s="48"/>
      <c r="Q78" s="47"/>
      <c r="R78" s="39"/>
      <c r="S78" s="39"/>
      <c r="T78" s="48"/>
      <c r="U78" s="47"/>
      <c r="V78" s="39"/>
      <c r="W78" s="39"/>
      <c r="X78" s="52"/>
      <c r="Y78" s="53"/>
      <c r="Z78" s="54">
        <v>20</v>
      </c>
      <c r="AA78" s="54"/>
      <c r="AB78" s="52"/>
      <c r="AC78" s="53"/>
      <c r="AD78" s="54"/>
      <c r="AE78" s="54"/>
      <c r="AF78" s="52"/>
      <c r="AG78" s="53"/>
      <c r="AH78" s="54">
        <v>28</v>
      </c>
      <c r="AI78" s="54"/>
      <c r="AJ78" s="52"/>
      <c r="AK78" s="40">
        <f t="shared" si="25"/>
        <v>48</v>
      </c>
      <c r="AL78" t="str">
        <f t="shared" si="26"/>
        <v>pto</v>
      </c>
    </row>
    <row r="79" spans="1:38" ht="15" customHeight="1">
      <c r="A79" s="34" t="s">
        <v>230</v>
      </c>
      <c r="B79" s="31" t="s">
        <v>159</v>
      </c>
      <c r="C79" s="31" t="s">
        <v>22</v>
      </c>
      <c r="D79" s="32">
        <f t="shared" si="23"/>
        <v>54</v>
      </c>
      <c r="E79" s="33">
        <f t="shared" ref="E79:E81" si="27">D79</f>
        <v>54</v>
      </c>
      <c r="H79" s="42" t="s">
        <v>133</v>
      </c>
      <c r="I79" s="47"/>
      <c r="J79" s="39">
        <f>J36+K19</f>
        <v>11</v>
      </c>
      <c r="K79" s="39"/>
      <c r="L79" s="48"/>
      <c r="M79" s="47"/>
      <c r="N79" s="39">
        <f>N36+O19</f>
        <v>7</v>
      </c>
      <c r="O79" s="39"/>
      <c r="P79" s="48"/>
      <c r="Q79" s="47"/>
      <c r="R79" s="39">
        <f>R36+S19</f>
        <v>7</v>
      </c>
      <c r="S79" s="39"/>
      <c r="T79" s="48"/>
      <c r="U79" s="47"/>
      <c r="V79" s="39">
        <f>V36+W19</f>
        <v>6</v>
      </c>
      <c r="W79" s="39"/>
      <c r="X79" s="52"/>
      <c r="Y79" s="53"/>
      <c r="Z79" s="39">
        <f>Z36+AA19</f>
        <v>8</v>
      </c>
      <c r="AA79" s="54"/>
      <c r="AB79" s="52"/>
      <c r="AC79" s="53"/>
      <c r="AD79" s="39">
        <f>AD36+AE19</f>
        <v>8</v>
      </c>
      <c r="AE79" s="54"/>
      <c r="AF79" s="52"/>
      <c r="AG79" s="53"/>
      <c r="AH79" s="39">
        <f>AH36+AI19</f>
        <v>7</v>
      </c>
      <c r="AI79" s="54"/>
      <c r="AJ79" s="52"/>
      <c r="AK79" s="40">
        <f t="shared" si="25"/>
        <v>54</v>
      </c>
      <c r="AL79" t="str">
        <f t="shared" si="26"/>
        <v>pto</v>
      </c>
    </row>
    <row r="80" spans="1:38" ht="15" customHeight="1">
      <c r="A80" s="34" t="s">
        <v>231</v>
      </c>
      <c r="B80" s="31" t="s">
        <v>74</v>
      </c>
      <c r="C80" s="31" t="s">
        <v>22</v>
      </c>
      <c r="D80" s="32">
        <f t="shared" si="23"/>
        <v>5</v>
      </c>
      <c r="E80" s="33">
        <f t="shared" si="27"/>
        <v>5</v>
      </c>
      <c r="H80" s="42" t="s">
        <v>131</v>
      </c>
      <c r="I80" s="47"/>
      <c r="J80" s="39">
        <v>1</v>
      </c>
      <c r="K80" s="39"/>
      <c r="L80" s="48"/>
      <c r="M80" s="47"/>
      <c r="N80" s="39">
        <v>3</v>
      </c>
      <c r="O80" s="39"/>
      <c r="P80" s="48"/>
      <c r="Q80" s="47"/>
      <c r="R80" s="39">
        <v>1</v>
      </c>
      <c r="S80" s="39"/>
      <c r="T80" s="48"/>
      <c r="U80" s="47"/>
      <c r="V80" s="39"/>
      <c r="W80" s="39"/>
      <c r="X80" s="52"/>
      <c r="Y80" s="53"/>
      <c r="Z80" s="54"/>
      <c r="AA80" s="54"/>
      <c r="AB80" s="52"/>
      <c r="AC80" s="53"/>
      <c r="AD80" s="54"/>
      <c r="AE80" s="54"/>
      <c r="AF80" s="52"/>
      <c r="AG80" s="53"/>
      <c r="AH80" s="54"/>
      <c r="AI80" s="54"/>
      <c r="AJ80" s="52"/>
      <c r="AK80" s="40">
        <f t="shared" si="25"/>
        <v>5</v>
      </c>
      <c r="AL80" t="str">
        <f t="shared" si="26"/>
        <v>pto</v>
      </c>
    </row>
    <row r="81" spans="1:44" ht="15" customHeight="1">
      <c r="A81" s="34" t="s">
        <v>232</v>
      </c>
      <c r="B81" s="31" t="s">
        <v>75</v>
      </c>
      <c r="C81" s="31" t="s">
        <v>22</v>
      </c>
      <c r="D81" s="32">
        <f t="shared" si="23"/>
        <v>4</v>
      </c>
      <c r="E81" s="33">
        <f t="shared" si="27"/>
        <v>4</v>
      </c>
      <c r="H81" s="42" t="s">
        <v>132</v>
      </c>
      <c r="I81" s="47"/>
      <c r="J81" s="39">
        <v>1</v>
      </c>
      <c r="K81" s="39"/>
      <c r="L81" s="48"/>
      <c r="M81" s="47"/>
      <c r="N81" s="39">
        <v>1</v>
      </c>
      <c r="O81" s="39"/>
      <c r="P81" s="48"/>
      <c r="Q81" s="47"/>
      <c r="R81" s="39"/>
      <c r="S81" s="39"/>
      <c r="T81" s="48"/>
      <c r="U81" s="47"/>
      <c r="V81" s="39"/>
      <c r="W81" s="39"/>
      <c r="X81" s="52"/>
      <c r="Y81" s="53"/>
      <c r="Z81" s="54">
        <v>2</v>
      </c>
      <c r="AA81" s="54"/>
      <c r="AB81" s="52"/>
      <c r="AC81" s="53"/>
      <c r="AD81" s="54"/>
      <c r="AE81" s="54"/>
      <c r="AF81" s="52"/>
      <c r="AG81" s="53"/>
      <c r="AH81" s="54"/>
      <c r="AI81" s="54"/>
      <c r="AJ81" s="52"/>
      <c r="AK81" s="40">
        <f t="shared" si="25"/>
        <v>4</v>
      </c>
      <c r="AL81" t="str">
        <f t="shared" si="26"/>
        <v>pto</v>
      </c>
    </row>
    <row r="82" spans="1:44" ht="15" customHeight="1">
      <c r="A82" s="34" t="s">
        <v>233</v>
      </c>
      <c r="B82" s="31" t="s">
        <v>160</v>
      </c>
      <c r="C82" s="31" t="s">
        <v>22</v>
      </c>
      <c r="D82" s="32">
        <f t="shared" si="23"/>
        <v>86</v>
      </c>
      <c r="E82" s="33">
        <f t="shared" ref="E82" si="28">D82</f>
        <v>86</v>
      </c>
      <c r="H82" s="42" t="s">
        <v>134</v>
      </c>
      <c r="I82" s="47"/>
      <c r="J82" s="39">
        <f>L23</f>
        <v>8</v>
      </c>
      <c r="K82" s="39"/>
      <c r="L82" s="48"/>
      <c r="M82" s="47"/>
      <c r="N82" s="39">
        <f>P23</f>
        <v>12</v>
      </c>
      <c r="O82" s="39"/>
      <c r="P82" s="48"/>
      <c r="Q82" s="47"/>
      <c r="R82" s="39">
        <f>T23</f>
        <v>14</v>
      </c>
      <c r="S82" s="39"/>
      <c r="T82" s="48"/>
      <c r="U82" s="47"/>
      <c r="V82" s="39">
        <f>X23</f>
        <v>13</v>
      </c>
      <c r="W82" s="39"/>
      <c r="X82" s="52"/>
      <c r="Y82" s="53"/>
      <c r="Z82" s="39">
        <f>AB23</f>
        <v>13</v>
      </c>
      <c r="AA82" s="54"/>
      <c r="AB82" s="52"/>
      <c r="AC82" s="53"/>
      <c r="AD82" s="39">
        <f>AF23</f>
        <v>12</v>
      </c>
      <c r="AE82" s="54"/>
      <c r="AF82" s="52"/>
      <c r="AG82" s="53"/>
      <c r="AH82" s="39">
        <f>AJ23</f>
        <v>14</v>
      </c>
      <c r="AI82" s="54"/>
      <c r="AJ82" s="52"/>
      <c r="AK82" s="40">
        <f t="shared" si="25"/>
        <v>86</v>
      </c>
      <c r="AL82" t="str">
        <f t="shared" si="26"/>
        <v>pto</v>
      </c>
    </row>
    <row r="83" spans="1:44" ht="15" customHeight="1">
      <c r="A83" s="34" t="s">
        <v>234</v>
      </c>
      <c r="B83" s="31" t="s">
        <v>161</v>
      </c>
      <c r="C83" s="31" t="s">
        <v>22</v>
      </c>
      <c r="D83" s="32">
        <f t="shared" si="23"/>
        <v>1</v>
      </c>
      <c r="E83" s="33">
        <f t="shared" ref="E83:E84" si="29">D83</f>
        <v>1</v>
      </c>
      <c r="H83" s="42" t="s">
        <v>135</v>
      </c>
      <c r="I83" s="47"/>
      <c r="J83" s="39">
        <f>L24</f>
        <v>0</v>
      </c>
      <c r="K83" s="39"/>
      <c r="L83" s="48"/>
      <c r="M83" s="47"/>
      <c r="N83" s="39">
        <f>P24</f>
        <v>0</v>
      </c>
      <c r="O83" s="39"/>
      <c r="P83" s="48"/>
      <c r="Q83" s="47"/>
      <c r="R83" s="39">
        <f>T24</f>
        <v>0</v>
      </c>
      <c r="S83" s="39"/>
      <c r="T83" s="48"/>
      <c r="U83" s="47"/>
      <c r="V83" s="39">
        <f>X24</f>
        <v>1</v>
      </c>
      <c r="W83" s="39"/>
      <c r="X83" s="52"/>
      <c r="Y83" s="53"/>
      <c r="Z83" s="39">
        <f>AB24</f>
        <v>0</v>
      </c>
      <c r="AA83" s="54"/>
      <c r="AB83" s="52"/>
      <c r="AC83" s="53"/>
      <c r="AD83" s="39">
        <f>AF24</f>
        <v>0</v>
      </c>
      <c r="AE83" s="54"/>
      <c r="AF83" s="52"/>
      <c r="AG83" s="53"/>
      <c r="AH83" s="39">
        <f>AJ24</f>
        <v>0</v>
      </c>
      <c r="AI83" s="54"/>
      <c r="AJ83" s="52"/>
      <c r="AK83" s="40">
        <f t="shared" si="25"/>
        <v>1</v>
      </c>
      <c r="AL83" t="str">
        <f t="shared" si="26"/>
        <v>pto</v>
      </c>
    </row>
    <row r="84" spans="1:44" ht="15" customHeight="1">
      <c r="A84" s="34" t="s">
        <v>235</v>
      </c>
      <c r="B84" s="31" t="s">
        <v>162</v>
      </c>
      <c r="C84" s="31" t="s">
        <v>22</v>
      </c>
      <c r="D84" s="32">
        <f t="shared" si="23"/>
        <v>18</v>
      </c>
      <c r="E84" s="33">
        <f t="shared" si="29"/>
        <v>18</v>
      </c>
      <c r="H84" s="42" t="s">
        <v>136</v>
      </c>
      <c r="I84" s="47"/>
      <c r="J84" s="39">
        <f>L25</f>
        <v>2</v>
      </c>
      <c r="K84" s="39"/>
      <c r="L84" s="48"/>
      <c r="M84" s="47"/>
      <c r="N84" s="39">
        <f>P25</f>
        <v>2</v>
      </c>
      <c r="O84" s="39"/>
      <c r="P84" s="48"/>
      <c r="Q84" s="47"/>
      <c r="R84" s="39">
        <f>T25</f>
        <v>2</v>
      </c>
      <c r="S84" s="39"/>
      <c r="T84" s="48"/>
      <c r="U84" s="47"/>
      <c r="V84" s="39">
        <f>X25</f>
        <v>3</v>
      </c>
      <c r="W84" s="39"/>
      <c r="X84" s="52"/>
      <c r="Y84" s="53"/>
      <c r="Z84" s="39">
        <f>AB25</f>
        <v>4</v>
      </c>
      <c r="AA84" s="54"/>
      <c r="AB84" s="52"/>
      <c r="AC84" s="53"/>
      <c r="AD84" s="39">
        <f>AF25</f>
        <v>3</v>
      </c>
      <c r="AE84" s="54"/>
      <c r="AF84" s="52"/>
      <c r="AG84" s="53"/>
      <c r="AH84" s="39">
        <f>AJ25</f>
        <v>2</v>
      </c>
      <c r="AI84" s="54"/>
      <c r="AJ84" s="52"/>
      <c r="AK84" s="40">
        <f t="shared" si="25"/>
        <v>18</v>
      </c>
      <c r="AL84" t="str">
        <f t="shared" si="26"/>
        <v>pto</v>
      </c>
    </row>
    <row r="85" spans="1:44" ht="15" customHeight="1">
      <c r="A85" s="34" t="s">
        <v>236</v>
      </c>
      <c r="B85" s="31" t="s">
        <v>76</v>
      </c>
      <c r="C85" s="31" t="s">
        <v>22</v>
      </c>
      <c r="D85" s="32">
        <f t="shared" si="23"/>
        <v>8</v>
      </c>
      <c r="E85" s="33">
        <f t="shared" ref="E85:E88" si="30">D85</f>
        <v>8</v>
      </c>
      <c r="H85" s="42" t="s">
        <v>137</v>
      </c>
      <c r="I85" s="47"/>
      <c r="J85" s="39">
        <f>L28</f>
        <v>2</v>
      </c>
      <c r="K85" s="39"/>
      <c r="L85" s="48"/>
      <c r="M85" s="47"/>
      <c r="N85" s="39">
        <f>P28</f>
        <v>1</v>
      </c>
      <c r="O85" s="39"/>
      <c r="P85" s="48"/>
      <c r="Q85" s="47"/>
      <c r="R85" s="39">
        <f>T28</f>
        <v>1</v>
      </c>
      <c r="S85" s="39"/>
      <c r="T85" s="48"/>
      <c r="U85" s="47"/>
      <c r="V85" s="39">
        <f>X28</f>
        <v>1</v>
      </c>
      <c r="W85" s="39"/>
      <c r="X85" s="52"/>
      <c r="Y85" s="53"/>
      <c r="Z85" s="39">
        <f>AB28</f>
        <v>1</v>
      </c>
      <c r="AA85" s="54"/>
      <c r="AB85" s="52"/>
      <c r="AC85" s="53"/>
      <c r="AD85" s="39">
        <f>AF28</f>
        <v>1</v>
      </c>
      <c r="AE85" s="54"/>
      <c r="AF85" s="52"/>
      <c r="AG85" s="53"/>
      <c r="AH85" s="39">
        <f>AJ28</f>
        <v>1</v>
      </c>
      <c r="AI85" s="54"/>
      <c r="AJ85" s="52"/>
      <c r="AK85" s="40">
        <f t="shared" si="25"/>
        <v>8</v>
      </c>
      <c r="AL85" t="str">
        <f t="shared" si="26"/>
        <v>pto</v>
      </c>
    </row>
    <row r="86" spans="1:44" ht="15" customHeight="1">
      <c r="A86" s="34" t="s">
        <v>237</v>
      </c>
      <c r="B86" s="31" t="s">
        <v>77</v>
      </c>
      <c r="C86" s="31" t="s">
        <v>22</v>
      </c>
      <c r="D86" s="32">
        <f t="shared" si="23"/>
        <v>8</v>
      </c>
      <c r="E86" s="33">
        <f t="shared" si="30"/>
        <v>8</v>
      </c>
      <c r="H86" s="42" t="s">
        <v>138</v>
      </c>
      <c r="I86" s="47"/>
      <c r="J86" s="39">
        <f>L29</f>
        <v>2</v>
      </c>
      <c r="K86" s="39"/>
      <c r="L86" s="48"/>
      <c r="M86" s="47"/>
      <c r="N86" s="39">
        <f>P29</f>
        <v>1</v>
      </c>
      <c r="O86" s="39"/>
      <c r="P86" s="48"/>
      <c r="Q86" s="47"/>
      <c r="R86" s="39">
        <f>T29</f>
        <v>1</v>
      </c>
      <c r="S86" s="39"/>
      <c r="T86" s="48"/>
      <c r="U86" s="47"/>
      <c r="V86" s="39">
        <f>X29</f>
        <v>1</v>
      </c>
      <c r="W86" s="39"/>
      <c r="X86" s="52"/>
      <c r="Y86" s="53"/>
      <c r="Z86" s="39">
        <f>AB29</f>
        <v>1</v>
      </c>
      <c r="AA86" s="54"/>
      <c r="AB86" s="52"/>
      <c r="AC86" s="53"/>
      <c r="AD86" s="39">
        <f>AF29</f>
        <v>1</v>
      </c>
      <c r="AE86" s="54"/>
      <c r="AF86" s="52"/>
      <c r="AG86" s="53"/>
      <c r="AH86" s="39">
        <f>AJ29</f>
        <v>1</v>
      </c>
      <c r="AI86" s="54"/>
      <c r="AJ86" s="52"/>
      <c r="AK86" s="40">
        <f t="shared" si="25"/>
        <v>8</v>
      </c>
      <c r="AL86" t="str">
        <f t="shared" si="26"/>
        <v>pto</v>
      </c>
    </row>
    <row r="87" spans="1:44" ht="15" customHeight="1">
      <c r="A87" s="34" t="s">
        <v>238</v>
      </c>
      <c r="B87" s="31" t="s">
        <v>78</v>
      </c>
      <c r="C87" s="31" t="s">
        <v>22</v>
      </c>
      <c r="D87" s="32">
        <f t="shared" si="23"/>
        <v>1</v>
      </c>
      <c r="E87" s="33">
        <f t="shared" si="30"/>
        <v>1</v>
      </c>
      <c r="H87" s="42" t="s">
        <v>139</v>
      </c>
      <c r="I87" s="47"/>
      <c r="J87" s="39">
        <f>L30</f>
        <v>0</v>
      </c>
      <c r="K87" s="39"/>
      <c r="L87" s="48"/>
      <c r="M87" s="47"/>
      <c r="N87" s="39">
        <f>P30</f>
        <v>1</v>
      </c>
      <c r="O87" s="39"/>
      <c r="P87" s="48"/>
      <c r="Q87" s="47"/>
      <c r="R87" s="39">
        <f>T30</f>
        <v>0</v>
      </c>
      <c r="S87" s="39"/>
      <c r="T87" s="48"/>
      <c r="U87" s="47"/>
      <c r="V87" s="39">
        <f>X30</f>
        <v>0</v>
      </c>
      <c r="W87" s="39"/>
      <c r="X87" s="52"/>
      <c r="Y87" s="53"/>
      <c r="Z87" s="39">
        <f>AB30</f>
        <v>0</v>
      </c>
      <c r="AA87" s="54"/>
      <c r="AB87" s="52"/>
      <c r="AC87" s="53"/>
      <c r="AD87" s="39">
        <f>AF30</f>
        <v>0</v>
      </c>
      <c r="AE87" s="54"/>
      <c r="AF87" s="52"/>
      <c r="AG87" s="53"/>
      <c r="AH87" s="39">
        <f>AJ30</f>
        <v>0</v>
      </c>
      <c r="AI87" s="54"/>
      <c r="AJ87" s="52"/>
      <c r="AK87" s="40">
        <f t="shared" si="25"/>
        <v>1</v>
      </c>
      <c r="AL87" t="str">
        <f t="shared" si="26"/>
        <v>pto</v>
      </c>
    </row>
    <row r="88" spans="1:44" ht="15" customHeight="1">
      <c r="A88" s="34" t="s">
        <v>239</v>
      </c>
      <c r="B88" s="31" t="s">
        <v>79</v>
      </c>
      <c r="C88" s="31" t="s">
        <v>22</v>
      </c>
      <c r="D88" s="32">
        <f t="shared" si="23"/>
        <v>1</v>
      </c>
      <c r="E88" s="33">
        <f t="shared" si="30"/>
        <v>1</v>
      </c>
      <c r="H88" s="42" t="s">
        <v>140</v>
      </c>
      <c r="I88" s="47"/>
      <c r="J88" s="39">
        <f>L31</f>
        <v>0</v>
      </c>
      <c r="K88" s="39"/>
      <c r="L88" s="48"/>
      <c r="M88" s="47"/>
      <c r="N88" s="39">
        <f>P31</f>
        <v>1</v>
      </c>
      <c r="O88" s="39"/>
      <c r="P88" s="48"/>
      <c r="Q88" s="47"/>
      <c r="R88" s="39">
        <f>T31</f>
        <v>0</v>
      </c>
      <c r="S88" s="39"/>
      <c r="T88" s="48"/>
      <c r="U88" s="47"/>
      <c r="V88" s="39">
        <f>X31</f>
        <v>0</v>
      </c>
      <c r="W88" s="39"/>
      <c r="X88" s="52"/>
      <c r="Y88" s="53"/>
      <c r="Z88" s="39">
        <f>AB31</f>
        <v>0</v>
      </c>
      <c r="AA88" s="54"/>
      <c r="AB88" s="52"/>
      <c r="AC88" s="53"/>
      <c r="AD88" s="39">
        <f>AF31</f>
        <v>0</v>
      </c>
      <c r="AE88" s="54"/>
      <c r="AF88" s="52"/>
      <c r="AG88" s="53"/>
      <c r="AH88" s="39">
        <f>AJ31</f>
        <v>0</v>
      </c>
      <c r="AI88" s="54"/>
      <c r="AJ88" s="52"/>
      <c r="AK88" s="40">
        <f t="shared" si="25"/>
        <v>1</v>
      </c>
      <c r="AL88" t="str">
        <f t="shared" si="26"/>
        <v>pto</v>
      </c>
    </row>
    <row r="89" spans="1:44" ht="15" customHeight="1">
      <c r="A89" s="34" t="s">
        <v>240</v>
      </c>
      <c r="B89" s="31" t="s">
        <v>80</v>
      </c>
      <c r="C89" s="31" t="s">
        <v>22</v>
      </c>
      <c r="D89" s="32">
        <f t="shared" si="23"/>
        <v>8</v>
      </c>
      <c r="E89" s="33">
        <f t="shared" ref="E89" si="31">D89</f>
        <v>8</v>
      </c>
      <c r="H89" s="42" t="s">
        <v>141</v>
      </c>
      <c r="I89" s="47"/>
      <c r="J89" s="39">
        <f>L26+L27</f>
        <v>8</v>
      </c>
      <c r="K89" s="39"/>
      <c r="L89" s="48"/>
      <c r="M89" s="47"/>
      <c r="N89" s="39">
        <f>P26+P27</f>
        <v>0</v>
      </c>
      <c r="O89" s="39"/>
      <c r="P89" s="48"/>
      <c r="Q89" s="47"/>
      <c r="R89" s="39">
        <f>T26+T27</f>
        <v>0</v>
      </c>
      <c r="S89" s="39"/>
      <c r="T89" s="48"/>
      <c r="U89" s="47"/>
      <c r="V89" s="39">
        <f>X26+X27</f>
        <v>0</v>
      </c>
      <c r="W89" s="39"/>
      <c r="X89" s="52"/>
      <c r="Y89" s="53"/>
      <c r="Z89" s="39">
        <f>AB26+AB27</f>
        <v>0</v>
      </c>
      <c r="AA89" s="54"/>
      <c r="AB89" s="52"/>
      <c r="AC89" s="53"/>
      <c r="AD89" s="39">
        <f>AF26+AF27</f>
        <v>0</v>
      </c>
      <c r="AE89" s="54"/>
      <c r="AF89" s="52"/>
      <c r="AG89" s="53"/>
      <c r="AH89" s="39">
        <f>AJ26+AJ27</f>
        <v>0</v>
      </c>
      <c r="AI89" s="54"/>
      <c r="AJ89" s="52"/>
      <c r="AK89" s="40">
        <f t="shared" si="25"/>
        <v>8</v>
      </c>
      <c r="AL89" t="str">
        <f t="shared" si="26"/>
        <v>pto</v>
      </c>
    </row>
    <row r="90" spans="1:44" ht="15" customHeight="1">
      <c r="A90" s="23" t="s">
        <v>241</v>
      </c>
      <c r="B90" s="24" t="s">
        <v>82</v>
      </c>
      <c r="C90" s="31"/>
      <c r="D90" s="32"/>
      <c r="E90" s="33"/>
    </row>
    <row r="91" spans="1:44" ht="15" customHeight="1" thickBot="1">
      <c r="A91" s="34" t="s">
        <v>242</v>
      </c>
      <c r="B91" s="31" t="s">
        <v>83</v>
      </c>
      <c r="C91" s="31" t="s">
        <v>11</v>
      </c>
      <c r="D91" s="32">
        <f>AK91</f>
        <v>12</v>
      </c>
      <c r="E91" s="33">
        <f t="shared" ref="E91" si="32">D91</f>
        <v>12</v>
      </c>
      <c r="H91" s="42" t="s">
        <v>142</v>
      </c>
      <c r="I91" s="49"/>
      <c r="J91" s="50"/>
      <c r="K91" s="50"/>
      <c r="L91" s="51"/>
      <c r="M91" s="49"/>
      <c r="N91" s="50">
        <v>2</v>
      </c>
      <c r="O91" s="50"/>
      <c r="P91" s="51"/>
      <c r="Q91" s="49"/>
      <c r="R91" s="50">
        <v>1</v>
      </c>
      <c r="S91" s="50"/>
      <c r="T91" s="51"/>
      <c r="U91" s="49"/>
      <c r="V91" s="50">
        <v>3</v>
      </c>
      <c r="W91" s="50"/>
      <c r="X91" s="55"/>
      <c r="Y91" s="56"/>
      <c r="Z91" s="57">
        <v>3</v>
      </c>
      <c r="AA91" s="57"/>
      <c r="AB91" s="55"/>
      <c r="AC91" s="56"/>
      <c r="AD91" s="57"/>
      <c r="AE91" s="57"/>
      <c r="AF91" s="55"/>
      <c r="AG91" s="56"/>
      <c r="AH91" s="57">
        <v>3</v>
      </c>
      <c r="AI91" s="57"/>
      <c r="AJ91" s="55"/>
      <c r="AK91" s="40">
        <f>SUM(I91:AJ91)</f>
        <v>12</v>
      </c>
      <c r="AL91" t="str">
        <f>C91</f>
        <v>und</v>
      </c>
    </row>
    <row r="92" spans="1:44" ht="15" customHeight="1" thickBot="1">
      <c r="A92" s="34" t="s">
        <v>243</v>
      </c>
      <c r="B92" s="31" t="s">
        <v>163</v>
      </c>
      <c r="C92" s="31" t="s">
        <v>11</v>
      </c>
      <c r="D92" s="32">
        <f>AK92</f>
        <v>1</v>
      </c>
      <c r="E92" s="33">
        <f t="shared" ref="E92" si="33">D92</f>
        <v>1</v>
      </c>
      <c r="H92" s="42" t="s">
        <v>156</v>
      </c>
      <c r="I92" s="49"/>
      <c r="J92" s="50"/>
      <c r="K92" s="50"/>
      <c r="L92" s="51"/>
      <c r="M92" s="49"/>
      <c r="N92" s="50">
        <v>1</v>
      </c>
      <c r="O92" s="50"/>
      <c r="P92" s="51"/>
      <c r="Q92" s="49"/>
      <c r="R92" s="50"/>
      <c r="S92" s="50"/>
      <c r="T92" s="51"/>
      <c r="U92" s="49"/>
      <c r="V92" s="50"/>
      <c r="W92" s="50"/>
      <c r="X92" s="55"/>
      <c r="Y92" s="56"/>
      <c r="Z92" s="57"/>
      <c r="AA92" s="57"/>
      <c r="AB92" s="55"/>
      <c r="AC92" s="56"/>
      <c r="AD92" s="57"/>
      <c r="AE92" s="57"/>
      <c r="AF92" s="55"/>
      <c r="AG92" s="56"/>
      <c r="AH92" s="57"/>
      <c r="AI92" s="57"/>
      <c r="AJ92" s="55"/>
      <c r="AK92" s="40">
        <f>SUM(I92:AJ92)</f>
        <v>1</v>
      </c>
      <c r="AL92" t="str">
        <f>C92</f>
        <v>und</v>
      </c>
    </row>
    <row r="93" spans="1:44" ht="15" customHeight="1"/>
    <row r="95" spans="1:44">
      <c r="H95" s="59"/>
      <c r="I95" s="60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</row>
    <row r="96" spans="1:44">
      <c r="H96" s="59"/>
      <c r="I96" s="60"/>
      <c r="J96" s="60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2"/>
      <c r="AO96" s="62"/>
      <c r="AP96" s="63"/>
      <c r="AQ96" s="63"/>
      <c r="AR96" s="61"/>
    </row>
    <row r="97" spans="8:44" ht="14.4">
      <c r="H97" s="59"/>
      <c r="I97" s="60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4"/>
      <c r="AO97" s="65"/>
      <c r="AP97" s="61"/>
      <c r="AQ97" s="66"/>
      <c r="AR97" s="61"/>
    </row>
    <row r="98" spans="8:44" ht="14.4">
      <c r="H98" s="59"/>
      <c r="I98" s="60"/>
      <c r="J98" s="59"/>
      <c r="K98" s="59"/>
      <c r="L98" s="59"/>
      <c r="M98" s="59"/>
      <c r="N98" s="59"/>
      <c r="O98" s="59"/>
      <c r="P98" s="59"/>
      <c r="Q98" s="60"/>
      <c r="R98" s="59"/>
      <c r="S98" s="59"/>
      <c r="T98" s="59"/>
      <c r="U98" s="59"/>
      <c r="V98" s="59"/>
      <c r="W98" s="59"/>
      <c r="X98" s="59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5"/>
      <c r="AP98" s="61"/>
      <c r="AQ98" s="61"/>
      <c r="AR98" s="61"/>
    </row>
    <row r="99" spans="8:44" ht="14.4">
      <c r="H99" s="59"/>
      <c r="I99" s="60"/>
      <c r="J99" s="59"/>
      <c r="K99" s="59"/>
      <c r="L99" s="59"/>
      <c r="M99" s="59"/>
      <c r="N99" s="59"/>
      <c r="O99" s="59"/>
      <c r="P99" s="59"/>
      <c r="Q99" s="60"/>
      <c r="R99" s="59"/>
      <c r="S99" s="59"/>
      <c r="T99" s="59"/>
      <c r="U99" s="59"/>
      <c r="V99" s="59"/>
      <c r="W99" s="59"/>
      <c r="X99" s="59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5"/>
      <c r="AP99" s="61"/>
      <c r="AQ99" s="61"/>
      <c r="AR99" s="61"/>
    </row>
    <row r="100" spans="8:44" ht="14.4">
      <c r="H100" s="59"/>
      <c r="I100" s="60"/>
      <c r="J100" s="59"/>
      <c r="K100" s="59"/>
      <c r="L100" s="59"/>
      <c r="M100" s="59"/>
      <c r="N100" s="59"/>
      <c r="O100" s="59"/>
      <c r="P100" s="59"/>
      <c r="Q100" s="60"/>
      <c r="R100" s="59"/>
      <c r="S100" s="59"/>
      <c r="T100" s="59"/>
      <c r="U100" s="59"/>
      <c r="V100" s="59"/>
      <c r="W100" s="59"/>
      <c r="X100" s="59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5"/>
      <c r="AP100" s="61"/>
      <c r="AQ100" s="61"/>
      <c r="AR100" s="61"/>
    </row>
    <row r="101" spans="8:44" ht="14.4">
      <c r="H101" s="59"/>
      <c r="I101" s="60"/>
      <c r="J101" s="59"/>
      <c r="K101" s="59"/>
      <c r="L101" s="59"/>
      <c r="M101" s="59"/>
      <c r="N101" s="59"/>
      <c r="O101" s="59"/>
      <c r="P101" s="59"/>
      <c r="Q101" s="60"/>
      <c r="R101" s="59"/>
      <c r="S101" s="59"/>
      <c r="T101" s="59"/>
      <c r="U101" s="59"/>
      <c r="V101" s="59"/>
      <c r="W101" s="59"/>
      <c r="X101" s="59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100"/>
      <c r="AO101" s="65"/>
      <c r="AP101" s="61"/>
      <c r="AQ101" s="61"/>
      <c r="AR101" s="61"/>
    </row>
    <row r="102" spans="8:44" ht="14.4">
      <c r="H102" s="59"/>
      <c r="I102" s="60"/>
      <c r="J102" s="59"/>
      <c r="K102" s="59"/>
      <c r="L102" s="59"/>
      <c r="M102" s="59"/>
      <c r="N102" s="59"/>
      <c r="O102" s="59"/>
      <c r="P102" s="59"/>
      <c r="Q102" s="60"/>
      <c r="R102" s="59"/>
      <c r="S102" s="59"/>
      <c r="T102" s="59"/>
      <c r="U102" s="59"/>
      <c r="V102" s="59"/>
      <c r="W102" s="59"/>
      <c r="X102" s="59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100"/>
      <c r="AO102" s="65"/>
      <c r="AP102" s="61"/>
      <c r="AQ102" s="61"/>
      <c r="AR102" s="61"/>
    </row>
    <row r="103" spans="8:44" ht="14.4">
      <c r="H103" s="59"/>
      <c r="I103" s="60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5"/>
      <c r="AP103" s="61"/>
      <c r="AQ103" s="66"/>
      <c r="AR103" s="61"/>
    </row>
    <row r="104" spans="8:44" ht="14.4">
      <c r="H104" s="59"/>
      <c r="I104" s="60"/>
      <c r="J104" s="60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100"/>
      <c r="AO104" s="65"/>
      <c r="AP104" s="61"/>
      <c r="AQ104" s="61"/>
      <c r="AR104" s="61"/>
    </row>
    <row r="105" spans="8:44" ht="14.4">
      <c r="H105" s="59"/>
      <c r="I105" s="60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100"/>
      <c r="AO105" s="65"/>
      <c r="AP105" s="61"/>
      <c r="AQ105" s="61"/>
      <c r="AR105" s="61"/>
    </row>
    <row r="106" spans="8:44">
      <c r="H106" s="59"/>
      <c r="I106" s="60"/>
      <c r="J106" s="59"/>
      <c r="K106" s="59"/>
      <c r="L106" s="59"/>
      <c r="M106" s="59"/>
      <c r="N106" s="59"/>
      <c r="O106" s="59"/>
      <c r="P106" s="59"/>
      <c r="Q106" s="60"/>
      <c r="R106" s="59"/>
      <c r="S106" s="59"/>
      <c r="T106" s="59"/>
      <c r="U106" s="59"/>
      <c r="V106" s="59"/>
      <c r="W106" s="59"/>
      <c r="X106" s="59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7"/>
      <c r="AO106" s="67"/>
      <c r="AP106" s="67"/>
      <c r="AQ106" s="67"/>
      <c r="AR106" s="61"/>
    </row>
    <row r="107" spans="8:44">
      <c r="H107" s="59"/>
      <c r="I107" s="60"/>
      <c r="J107" s="59"/>
      <c r="K107" s="59"/>
      <c r="L107" s="59"/>
      <c r="M107" s="59"/>
      <c r="N107" s="59"/>
      <c r="O107" s="59"/>
      <c r="P107" s="59"/>
      <c r="Q107" s="60"/>
      <c r="R107" s="59"/>
      <c r="S107" s="59"/>
      <c r="T107" s="59"/>
      <c r="U107" s="59"/>
      <c r="V107" s="59"/>
      <c r="W107" s="59"/>
      <c r="X107" s="59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</row>
    <row r="108" spans="8:44">
      <c r="H108" s="59"/>
      <c r="I108" s="60"/>
      <c r="J108" s="59"/>
      <c r="K108" s="59"/>
      <c r="L108" s="59"/>
      <c r="M108" s="59"/>
      <c r="N108" s="59"/>
      <c r="O108" s="59"/>
      <c r="P108" s="59"/>
      <c r="Q108" s="60"/>
      <c r="R108" s="59"/>
      <c r="S108" s="59"/>
      <c r="T108" s="59"/>
      <c r="U108" s="59"/>
      <c r="V108" s="59"/>
      <c r="W108" s="59"/>
      <c r="X108" s="59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2"/>
      <c r="AO108" s="62"/>
      <c r="AP108" s="63"/>
      <c r="AQ108" s="63"/>
      <c r="AR108" s="61"/>
    </row>
    <row r="109" spans="8:44" ht="14.4">
      <c r="H109" s="59"/>
      <c r="I109" s="60"/>
      <c r="J109" s="60"/>
      <c r="K109" s="59"/>
      <c r="L109" s="59"/>
      <c r="M109" s="59"/>
      <c r="N109" s="59"/>
      <c r="O109" s="59"/>
      <c r="P109" s="59"/>
      <c r="Q109" s="60"/>
      <c r="R109" s="59"/>
      <c r="S109" s="59"/>
      <c r="T109" s="59"/>
      <c r="U109" s="59"/>
      <c r="V109" s="59"/>
      <c r="W109" s="59"/>
      <c r="X109" s="59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4"/>
      <c r="AO109" s="65"/>
      <c r="AP109" s="61"/>
      <c r="AQ109" s="66"/>
      <c r="AR109" s="61"/>
    </row>
    <row r="110" spans="8:44" ht="14.4">
      <c r="H110" s="59"/>
      <c r="I110" s="68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5"/>
      <c r="AP110" s="61"/>
      <c r="AQ110" s="61"/>
      <c r="AR110" s="61"/>
    </row>
    <row r="111" spans="8:44" ht="14.4">
      <c r="H111" s="59"/>
      <c r="I111" s="69"/>
      <c r="J111" s="68"/>
      <c r="K111" s="68"/>
      <c r="L111" s="68"/>
      <c r="M111" s="68"/>
      <c r="N111" s="70"/>
      <c r="O111" s="70"/>
      <c r="P111" s="70"/>
      <c r="Q111" s="60"/>
      <c r="R111" s="59"/>
      <c r="S111" s="59"/>
      <c r="T111" s="59"/>
      <c r="U111" s="59"/>
      <c r="V111" s="59"/>
      <c r="W111" s="59"/>
      <c r="X111" s="59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5"/>
      <c r="AP111" s="61"/>
      <c r="AQ111" s="61"/>
      <c r="AR111" s="61"/>
    </row>
    <row r="112" spans="8:44" ht="14.4">
      <c r="H112" s="59"/>
      <c r="I112" s="69"/>
      <c r="J112" s="68"/>
      <c r="K112" s="68"/>
      <c r="L112" s="68"/>
      <c r="M112" s="68"/>
      <c r="N112" s="68"/>
      <c r="O112" s="68"/>
      <c r="P112" s="68"/>
      <c r="Q112" s="60"/>
      <c r="R112" s="59"/>
      <c r="S112" s="59"/>
      <c r="T112" s="59"/>
      <c r="U112" s="59"/>
      <c r="V112" s="59"/>
      <c r="W112" s="59"/>
      <c r="X112" s="59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5"/>
      <c r="AP112" s="61"/>
      <c r="AQ112" s="61"/>
      <c r="AR112" s="61"/>
    </row>
    <row r="113" spans="8:44" ht="14.4">
      <c r="H113" s="59"/>
      <c r="I113" s="69"/>
      <c r="J113" s="68"/>
      <c r="K113" s="68"/>
      <c r="L113" s="68"/>
      <c r="M113" s="68"/>
      <c r="N113" s="68"/>
      <c r="O113" s="68"/>
      <c r="P113" s="68"/>
      <c r="Q113" s="60"/>
      <c r="R113" s="59"/>
      <c r="S113" s="59"/>
      <c r="T113" s="59"/>
      <c r="U113" s="59"/>
      <c r="V113" s="59"/>
      <c r="W113" s="59"/>
      <c r="X113" s="59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71"/>
      <c r="AO113" s="65"/>
      <c r="AP113" s="61"/>
      <c r="AQ113" s="61"/>
      <c r="AR113" s="61"/>
    </row>
    <row r="114" spans="8:44" ht="14.4">
      <c r="H114" s="59"/>
      <c r="I114" s="72"/>
      <c r="J114" s="68"/>
      <c r="K114" s="68"/>
      <c r="L114" s="68"/>
      <c r="M114" s="68"/>
      <c r="N114" s="68"/>
      <c r="O114" s="68"/>
      <c r="P114" s="68"/>
      <c r="Q114" s="60"/>
      <c r="R114" s="59"/>
      <c r="S114" s="59"/>
      <c r="T114" s="59"/>
      <c r="U114" s="59"/>
      <c r="V114" s="59"/>
      <c r="W114" s="59"/>
      <c r="X114" s="59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5"/>
      <c r="AP114" s="61"/>
      <c r="AQ114" s="61"/>
      <c r="AR114" s="61"/>
    </row>
    <row r="115" spans="8:44" ht="14.4">
      <c r="H115" s="59"/>
      <c r="I115" s="72"/>
      <c r="J115" s="68"/>
      <c r="K115" s="68"/>
      <c r="L115" s="68"/>
      <c r="M115" s="68"/>
      <c r="N115" s="68"/>
      <c r="O115" s="68"/>
      <c r="P115" s="68"/>
      <c r="Q115" s="60"/>
      <c r="R115" s="59"/>
      <c r="S115" s="59"/>
      <c r="T115" s="59"/>
      <c r="U115" s="59"/>
      <c r="V115" s="59"/>
      <c r="W115" s="59"/>
      <c r="X115" s="59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71"/>
      <c r="AO115" s="65"/>
      <c r="AP115" s="61"/>
      <c r="AQ115" s="66"/>
      <c r="AR115" s="61"/>
    </row>
    <row r="116" spans="8:44">
      <c r="H116" s="59"/>
      <c r="I116" s="72"/>
      <c r="J116" s="68"/>
      <c r="K116" s="68"/>
      <c r="L116" s="68"/>
      <c r="M116" s="68"/>
      <c r="N116" s="68"/>
      <c r="O116" s="68"/>
      <c r="P116" s="68"/>
      <c r="Q116" s="60"/>
      <c r="R116" s="59"/>
      <c r="S116" s="59"/>
      <c r="T116" s="59"/>
      <c r="U116" s="59"/>
      <c r="V116" s="59"/>
      <c r="W116" s="59"/>
      <c r="X116" s="59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7"/>
      <c r="AO116" s="67"/>
      <c r="AP116" s="61"/>
      <c r="AQ116" s="61"/>
      <c r="AR116" s="61"/>
    </row>
    <row r="117" spans="8:44">
      <c r="H117" s="59"/>
      <c r="I117" s="72"/>
      <c r="J117" s="68"/>
      <c r="K117" s="68"/>
      <c r="L117" s="68"/>
      <c r="M117" s="68"/>
      <c r="N117" s="68"/>
      <c r="O117" s="68"/>
      <c r="P117" s="68"/>
      <c r="Q117" s="60"/>
      <c r="R117" s="59"/>
      <c r="S117" s="59"/>
      <c r="T117" s="59"/>
      <c r="U117" s="59"/>
      <c r="V117" s="59"/>
      <c r="W117" s="59"/>
      <c r="X117" s="59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</row>
    <row r="118" spans="8:44">
      <c r="H118" s="59"/>
      <c r="I118" s="72"/>
      <c r="J118" s="68"/>
      <c r="K118" s="68"/>
      <c r="L118" s="68"/>
      <c r="M118" s="68"/>
      <c r="N118" s="68"/>
      <c r="O118" s="68"/>
      <c r="P118" s="68"/>
      <c r="Q118" s="60"/>
      <c r="R118" s="59"/>
      <c r="S118" s="59"/>
      <c r="T118" s="59"/>
      <c r="U118" s="59"/>
      <c r="V118" s="59"/>
      <c r="W118" s="59"/>
      <c r="X118" s="59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7"/>
      <c r="AQ118" s="67"/>
      <c r="AR118" s="61"/>
    </row>
    <row r="119" spans="8:44">
      <c r="H119" s="59"/>
      <c r="I119" s="72"/>
      <c r="J119" s="68"/>
      <c r="K119" s="68"/>
      <c r="L119" s="68"/>
      <c r="M119" s="68"/>
      <c r="N119" s="68"/>
      <c r="O119" s="68"/>
      <c r="P119" s="68"/>
      <c r="Q119" s="60"/>
      <c r="R119" s="59"/>
      <c r="S119" s="59"/>
      <c r="T119" s="59"/>
      <c r="U119" s="59"/>
      <c r="V119" s="59"/>
      <c r="W119" s="59"/>
      <c r="X119" s="59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</row>
    <row r="120" spans="8:44">
      <c r="H120" s="59"/>
      <c r="I120" s="72"/>
      <c r="J120" s="68"/>
      <c r="K120" s="68"/>
      <c r="L120" s="68"/>
      <c r="M120" s="68"/>
      <c r="N120" s="68"/>
      <c r="O120" s="68"/>
      <c r="P120" s="68"/>
      <c r="Q120" s="60"/>
      <c r="R120" s="59"/>
      <c r="S120" s="59"/>
      <c r="T120" s="59"/>
      <c r="U120" s="59"/>
      <c r="V120" s="59"/>
      <c r="W120" s="59"/>
      <c r="X120" s="59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</row>
    <row r="121" spans="8:44">
      <c r="H121" s="59"/>
      <c r="I121" s="60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</row>
    <row r="122" spans="8:44">
      <c r="H122" s="60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</row>
    <row r="123" spans="8:44">
      <c r="H123" s="60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</row>
    <row r="124" spans="8:44">
      <c r="H124" s="60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</row>
  </sheetData>
  <mergeCells count="18">
    <mergeCell ref="Q13:T13"/>
    <mergeCell ref="U13:X13"/>
    <mergeCell ref="Y13:AB13"/>
    <mergeCell ref="AN101:AN102"/>
    <mergeCell ref="AN104:AN105"/>
    <mergeCell ref="AC13:AF13"/>
    <mergeCell ref="AG13:AJ13"/>
    <mergeCell ref="I13:L13"/>
    <mergeCell ref="M13:P13"/>
    <mergeCell ref="A1:E1"/>
    <mergeCell ref="A3:A4"/>
    <mergeCell ref="B3:E4"/>
    <mergeCell ref="B8:E8"/>
    <mergeCell ref="A10:A11"/>
    <mergeCell ref="B10:B11"/>
    <mergeCell ref="C10:C11"/>
    <mergeCell ref="D10:D11"/>
    <mergeCell ref="E10:E11"/>
  </mergeCells>
  <phoneticPr fontId="10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80" orientation="portrait" horizontalDpi="300" verticalDpi="300" r:id="rId1"/>
  <colBreaks count="1" manualBreakCount="1">
    <brk id="5" max="10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RESUMEN</vt:lpstr>
      <vt:lpstr>RESUMEN!Área_de_impresión</vt:lpstr>
    </vt:vector>
  </TitlesOfParts>
  <Manager>WSHEDAN</Manager>
  <Company>WSHEDAN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DE METRADOS UNDAC-COM</dc:title>
  <dc:subject>METRADOS</dc:subject>
  <dc:creator>usuario</dc:creator>
  <cp:keywords>WSH</cp:keywords>
  <cp:lastModifiedBy>Araceli Cisneros Rodríguez</cp:lastModifiedBy>
  <cp:lastPrinted>2025-05-20T17:35:33Z</cp:lastPrinted>
  <dcterms:created xsi:type="dcterms:W3CDTF">2024-12-12T20:15:49Z</dcterms:created>
  <dcterms:modified xsi:type="dcterms:W3CDTF">2025-05-20T17:36:23Z</dcterms:modified>
</cp:coreProperties>
</file>